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o" sheetId="2" state="visible" r:id="rId2"/>
    <sheet name="Lançamentos" sheetId="3" state="visible" r:id="rId3"/>
    <sheet name="A pagar" sheetId="4" state="visible" r:id="rId4"/>
    <sheet name="Simulador" sheetId="5" state="visible" r:id="rId5"/>
    <sheet name="Objetivos" sheetId="6" state="visible" r:id="rId6"/>
    <sheet name="Categor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;[Red]-&quot;R$&quot; #,##0.00"/>
  </numFmts>
  <fonts count="10">
    <font>
      <name val="Calibri"/>
      <family val="2"/>
      <color theme="1"/>
      <sz val="11"/>
      <scheme val="minor"/>
    </font>
    <font>
      <name val="Calibri"/>
      <b val="1"/>
      <color rgb="000F3E73"/>
      <sz val="16"/>
    </font>
    <font>
      <b val="1"/>
      <color rgb="000F3E73"/>
      <sz val="13"/>
    </font>
    <font>
      <i val="1"/>
    </font>
    <font>
      <i val="1"/>
      <sz val="9"/>
    </font>
    <font>
      <name val="Calibri"/>
      <b val="1"/>
      <color rgb="00FFFFFF"/>
    </font>
    <font>
      <b val="1"/>
    </font>
    <font>
      <b val="1"/>
      <sz val="14"/>
    </font>
    <font/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F3E73"/>
      </patternFill>
    </fill>
    <fill>
      <patternFill patternType="solid">
        <fgColor rgb="00EEF4FB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9D6E6"/>
      </left>
      <right style="thin">
        <color rgb="00C9D6E6"/>
      </right>
      <top style="thin">
        <color rgb="00C9D6E6"/>
      </top>
      <bottom style="thin">
        <color rgb="00C9D6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165" fontId="0" fillId="4" borderId="1" pivotButton="0" quotePrefix="0" xfId="0"/>
    <xf numFmtId="165" fontId="7" fillId="3" borderId="1" pivotButton="0" quotePrefix="0" xfId="0"/>
    <xf numFmtId="0" fontId="3" fillId="0" borderId="0" pivotButton="0" quotePrefix="0" xfId="0"/>
    <xf numFmtId="0" fontId="8" fillId="0" borderId="0" pivotButton="0" quotePrefix="0" xfId="0"/>
    <xf numFmtId="165" fontId="0" fillId="3" borderId="1" pivotButton="0" quotePrefix="0" xfId="0"/>
    <xf numFmtId="9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1" fontId="0" fillId="4" borderId="1" pivotButton="0" quotePrefix="0" xfId="0"/>
    <xf numFmtId="10" fontId="0" fillId="4" borderId="1" pivotButton="0" quotePrefix="0" xfId="0"/>
    <xf numFmtId="0" fontId="9" fillId="3" borderId="1" pivotButton="0" quotePrefix="0" xfId="0"/>
    <xf numFmtId="9" fontId="0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C00000"/>
      </font>
    </dxf>
    <dxf>
      <font>
        <b val="1"/>
        <color rgb="00B8860B"/>
      </font>
    </dxf>
    <dxf>
      <fill>
        <patternFill patternType="solid">
          <bgColor rgb="00FFD6D6"/>
        </patternFill>
      </fill>
    </dxf>
    <dxf>
      <font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E73"/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Controle Financeiro Privado: planilha</t>
        </is>
      </c>
    </row>
    <row r="2">
      <c r="A2" s="2" t="inlineStr">
        <is>
          <t>A mesma ideia do aplicativo, em planilha. Seus dados ficam só na sua conta do Google.</t>
        </is>
      </c>
    </row>
    <row r="3">
      <c r="A3" s="2" t="inlineStr"/>
    </row>
    <row r="4">
      <c r="A4" s="3" t="inlineStr">
        <is>
          <t>Passo a passo</t>
        </is>
      </c>
    </row>
    <row r="5">
      <c r="A5" s="2" t="inlineStr">
        <is>
          <t>1. Abra a aba "Resumo" e digite seu saldo inicial (a célula amarela).</t>
        </is>
      </c>
    </row>
    <row r="6">
      <c r="A6" s="2" t="inlineStr">
        <is>
          <t>2. Na aba "Lançamentos", escreva uma linha para cada entrada ou saída. As células amarelas são suas; as azuis são calculadas.</t>
        </is>
      </c>
    </row>
    <row r="7">
      <c r="A7" s="2" t="inlineStr">
        <is>
          <t xml:space="preserve">   - Situação "Já aconteceu" mexe no saldo. "Vai acontecer" é conta ou entrada prevista (aluguel, salário...).</t>
        </is>
      </c>
    </row>
    <row r="8">
      <c r="A8" s="2" t="inlineStr">
        <is>
          <t xml:space="preserve">   - Importância: Essencial, Dívidas, Importante ou Quero (o que é desejo).</t>
        </is>
      </c>
    </row>
    <row r="9">
      <c r="A9" s="2" t="inlineStr">
        <is>
          <t>3. A aba "Resumo" mostra o saldo, o saldo livre até o fim do mês e quanto da renda vai para dívidas e parcelas.</t>
        </is>
      </c>
    </row>
    <row r="10">
      <c r="A10" s="2" t="inlineStr">
        <is>
          <t>4. A aba "A pagar" lista o que vai vencer, da maior importância para a menor ("Em que ordem pagar?").</t>
        </is>
      </c>
    </row>
    <row r="11">
      <c r="A11" s="2" t="inlineStr">
        <is>
          <t>5. Antes de uma compra grande, use a aba "Simulador". Ela mostra se cabe, se aperta ou se não cabe.</t>
        </is>
      </c>
    </row>
    <row r="12">
      <c r="A12" s="2" t="inlineStr">
        <is>
          <t>6. Na aba "Objetivos", cadastre sua reserva de emergência, viagens e gastos do ano.</t>
        </is>
      </c>
    </row>
    <row r="13">
      <c r="A13" s="2" t="inlineStr"/>
    </row>
    <row r="14">
      <c r="A14" s="3" t="inlineStr">
        <is>
          <t>No iPhone</t>
        </is>
      </c>
    </row>
    <row r="15">
      <c r="A15" s="2" t="inlineStr">
        <is>
          <t>Envie este arquivo para o Google Drive, abra com o app Planilhas e escolha "Salvar como Planilha Google".</t>
        </is>
      </c>
    </row>
    <row r="16">
      <c r="A16" s="2" t="inlineStr">
        <is>
          <t>Para anotar rápido, deixe a aba "Lançamentos" aberta e use o teclado do celular.</t>
        </is>
      </c>
    </row>
    <row r="17">
      <c r="A17" s="2" t="inlineStr"/>
    </row>
    <row r="18">
      <c r="A18" s="3" t="inlineStr">
        <is>
          <t>Diferenças em relação ao aplicativo</t>
        </is>
      </c>
    </row>
    <row r="19">
      <c r="A19" s="2" t="inlineStr">
        <is>
          <t>A planilha não tem PIN próprio (vale a segurança da sua conta Google), voz nem foto de nota. Para isso, use o app no Android.</t>
        </is>
      </c>
    </row>
    <row r="20">
      <c r="A20" s="2" t="inlineStr">
        <is>
          <t>No aplicativo, o saldo livre também desconta o que você separou em objetivos; aqui acontece o mesmo (soma da coluna "Guardado").</t>
        </is>
      </c>
    </row>
    <row r="21">
      <c r="A21" s="2" t="inlineStr"/>
    </row>
    <row r="22">
      <c r="A22" s="4" t="inlineStr">
        <is>
          <t>As fórmulas foram escritas para o Google Planilhas. Se mudar de lugar as abas, não renomeie as colunas.</t>
        </is>
      </c>
    </row>
    <row r="23">
      <c r="A23" s="2" t="inlineStr"/>
    </row>
    <row r="24">
      <c r="A24" s="2" t="inlineStr">
        <is>
          <t>Tutorial completo, com exemplos: https://dreamystation.github.io/portfolio-emerson-silva/planilha-tutorial.html</t>
        </is>
      </c>
    </row>
    <row r="25">
      <c r="A25" s="5" t="inlineStr">
        <is>
          <t>Criada e desenhada por Emerson Silva - DreamyStation. Obra protegida pela Lei de Direitos Autorais (Lei 9.610/1998): uso pessoal permitido; é proibido copiar, redistribuir, vender ou alterar sem autorização.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FB1"/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4" customWidth="1" min="4" max="4"/>
  </cols>
  <sheetData>
    <row r="1">
      <c r="A1" s="6" t="inlineStr">
        <is>
          <t>Resumo</t>
        </is>
      </c>
    </row>
    <row r="3">
      <c r="A3" s="7" t="inlineStr">
        <is>
          <t>Saldo inicial (digite aqui)</t>
        </is>
      </c>
      <c r="B3" s="8" t="n">
        <v>1250</v>
      </c>
    </row>
    <row r="4">
      <c r="A4" s="7" t="inlineStr">
        <is>
          <t>SALDO HOJE</t>
        </is>
      </c>
      <c r="B4" s="9">
        <f>B3+SUMIFS('Lançamentos'!$H$2:$H$1001,'Lançamentos'!$F$2:$F$1001,"Já aconteceu")</f>
        <v/>
      </c>
      <c r="C4" s="10" t="inlineStr">
        <is>
          <t>Saldo inicial + o que já aconteceu</t>
        </is>
      </c>
    </row>
    <row r="6">
      <c r="A6" s="7" t="inlineStr">
        <is>
          <t>Até o fim deste mês</t>
        </is>
      </c>
    </row>
    <row r="7">
      <c r="A7" s="11" t="inlineStr">
        <is>
          <t>+ entradas que ainda vão acontecer</t>
        </is>
      </c>
      <c r="B7" s="12">
        <f>SUMIFS('Lançamentos'!$H$2:$H$1001,'Lançamentos'!$F$2:$F$1001,"Vai acontecer",'Lançamentos'!$H$2:$H$1001,"&gt;0",'Lançamentos'!$A$2:$A$1001,"&lt;="&amp;EOMONTH(TODAY(),0))</f>
        <v/>
      </c>
    </row>
    <row r="8">
      <c r="A8" s="11" t="inlineStr">
        <is>
          <t>− saídas que ainda vão acontecer (inclui atrasadas)</t>
        </is>
      </c>
      <c r="B8" s="12">
        <f>-SUMIFS('Lançamentos'!$H$2:$H$1001,'Lançamentos'!$F$2:$F$1001,"Vai acontecer",'Lançamentos'!$H$2:$H$1001,"&lt;0",'Lançamentos'!$A$2:$A$1001,"&lt;="&amp;EOMONTH(TODAY(),0))</f>
        <v/>
      </c>
    </row>
    <row r="9">
      <c r="A9" s="11" t="inlineStr">
        <is>
          <t>− separado nos objetivos</t>
        </is>
      </c>
      <c r="B9" s="12">
        <f>'Objetivos'!C2</f>
        <v/>
      </c>
    </row>
    <row r="10">
      <c r="A10" s="7" t="inlineStr">
        <is>
          <t>SALDO LIVRE NO MÊS</t>
        </is>
      </c>
      <c r="B10" s="9">
        <f>B4+B7-B8-B9</f>
        <v/>
      </c>
    </row>
    <row r="12">
      <c r="A12" s="7" t="inlineStr">
        <is>
          <t>Dívidas e parcelas na renda</t>
        </is>
      </c>
    </row>
    <row r="13">
      <c r="A13" s="11" t="inlineStr">
        <is>
          <t>Renda média por mês (digite aqui)</t>
        </is>
      </c>
      <c r="B13" s="8" t="n">
        <v>3000</v>
      </c>
    </row>
    <row r="14">
      <c r="A14" s="11" t="inlineStr">
        <is>
          <t>Dívidas e parcelas nos próximos 30 dias</t>
        </is>
      </c>
      <c r="B14" s="12">
        <f>-SUMIFS('Lançamentos'!$H$2:$H$1001,'Lançamentos'!$F$2:$F$1001,"Vai acontecer",'Lançamentos'!$E$2:$E$1001,"Dívidas",'Lançamentos'!$H$2:$H$1001,"&lt;0",'Lançamentos'!$A$2:$A$1001,"&lt;="&amp;(TODAY()+30))</f>
        <v/>
      </c>
    </row>
    <row r="15">
      <c r="A15" s="11" t="inlineStr">
        <is>
          <t>Comprometimento da renda</t>
        </is>
      </c>
      <c r="B15" s="13">
        <f>IF(N(B13)&gt;0,B14/B13,"")</f>
        <v/>
      </c>
      <c r="C15" s="14">
        <f>IF(B15="","informe a renda",IF(B15&gt;0.3,"Alto: acima de 30%",IF(B15&gt;0.2,"Atenção","Tranquilo")))</f>
        <v/>
      </c>
    </row>
    <row r="17">
      <c r="A17" s="7" t="inlineStr">
        <is>
          <t>Mês para ver (qualquer dia dele)</t>
        </is>
      </c>
      <c r="B17" s="15">
        <f>TODAY()</f>
        <v/>
      </c>
    </row>
    <row r="18">
      <c r="A18" s="11" t="inlineStr">
        <is>
          <t>Entradas do mês</t>
        </is>
      </c>
      <c r="B18" s="12">
        <f>SUMIFS('Lançamentos'!$H$2:$H$1001,'Lançamentos'!$I$2:$I$1001,YEAR(B17)*100+MONTH(B17),'Lançamentos'!$F$2:$F$1001,"Já aconteceu",'Lançamentos'!$H$2:$H$1001,"&gt;0")</f>
        <v/>
      </c>
    </row>
    <row r="19">
      <c r="A19" s="11" t="inlineStr">
        <is>
          <t>Saídas do mês</t>
        </is>
      </c>
      <c r="B19" s="12">
        <f>-SUMIFS('Lançamentos'!$H$2:$H$1001,'Lançamentos'!$I$2:$I$1001,YEAR(B17)*100+MONTH(B17),'Lançamentos'!$F$2:$F$1001,"Já aconteceu",'Lançamentos'!$H$2:$H$1001,"&lt;0")</f>
        <v/>
      </c>
    </row>
    <row r="20">
      <c r="A20" s="7" t="inlineStr">
        <is>
          <t>Sobrou no mês</t>
        </is>
      </c>
      <c r="B20" s="12">
        <f>B18-B19</f>
        <v/>
      </c>
    </row>
    <row r="22">
      <c r="A22" s="7" t="inlineStr">
        <is>
          <t>Saídas do mês por categoria</t>
        </is>
      </c>
    </row>
    <row r="23">
      <c r="A23" s="16" t="inlineStr">
        <is>
          <t>Categoria</t>
        </is>
      </c>
      <c r="B23" s="16" t="inlineStr">
        <is>
          <t>Gasto</t>
        </is>
      </c>
      <c r="C23" s="16" t="inlineStr">
        <is>
          <t>% das saídas</t>
        </is>
      </c>
    </row>
    <row r="24">
      <c r="A24">
        <f>Categorias!A2</f>
        <v/>
      </c>
      <c r="B24" s="17">
        <f>-SUMIFS('Lançamentos'!$H$2:$H$1001,'Lançamentos'!$D$2:$D$1001,A24,'Lançamentos'!$I$2:$I$1001,YEAR($B$17)*100+MONTH($B$17),'Lançamentos'!$F$2:$F$1001,"Já aconteceu",'Lançamentos'!$H$2:$H$1001,"&lt;0")</f>
        <v/>
      </c>
      <c r="C24" s="18">
        <f>IF($B$19&gt;0,B24/$B$19,"")</f>
        <v/>
      </c>
    </row>
    <row r="25">
      <c r="A25">
        <f>Categorias!A3</f>
        <v/>
      </c>
      <c r="B25" s="17">
        <f>-SUMIFS('Lançamentos'!$H$2:$H$1001,'Lançamentos'!$D$2:$D$1001,A25,'Lançamentos'!$I$2:$I$1001,YEAR($B$17)*100+MONTH($B$17),'Lançamentos'!$F$2:$F$1001,"Já aconteceu",'Lançamentos'!$H$2:$H$1001,"&lt;0")</f>
        <v/>
      </c>
      <c r="C25" s="18">
        <f>IF($B$19&gt;0,B25/$B$19,"")</f>
        <v/>
      </c>
    </row>
    <row r="26">
      <c r="A26">
        <f>Categorias!A4</f>
        <v/>
      </c>
      <c r="B26" s="17">
        <f>-SUMIFS('Lançamentos'!$H$2:$H$1001,'Lançamentos'!$D$2:$D$1001,A26,'Lançamentos'!$I$2:$I$1001,YEAR($B$17)*100+MONTH($B$17),'Lançamentos'!$F$2:$F$1001,"Já aconteceu",'Lançamentos'!$H$2:$H$1001,"&lt;0")</f>
        <v/>
      </c>
      <c r="C26" s="18">
        <f>IF($B$19&gt;0,B26/$B$19,"")</f>
        <v/>
      </c>
    </row>
    <row r="27">
      <c r="A27">
        <f>Categorias!A5</f>
        <v/>
      </c>
      <c r="B27" s="17">
        <f>-SUMIFS('Lançamentos'!$H$2:$H$1001,'Lançamentos'!$D$2:$D$1001,A27,'Lançamentos'!$I$2:$I$1001,YEAR($B$17)*100+MONTH($B$17),'Lançamentos'!$F$2:$F$1001,"Já aconteceu",'Lançamentos'!$H$2:$H$1001,"&lt;0")</f>
        <v/>
      </c>
      <c r="C27" s="18">
        <f>IF($B$19&gt;0,B27/$B$19,"")</f>
        <v/>
      </c>
    </row>
    <row r="28">
      <c r="A28">
        <f>Categorias!A6</f>
        <v/>
      </c>
      <c r="B28" s="17">
        <f>-SUMIFS('Lançamentos'!$H$2:$H$1001,'Lançamentos'!$D$2:$D$1001,A28,'Lançamentos'!$I$2:$I$1001,YEAR($B$17)*100+MONTH($B$17),'Lançamentos'!$F$2:$F$1001,"Já aconteceu",'Lançamentos'!$H$2:$H$1001,"&lt;0")</f>
        <v/>
      </c>
      <c r="C28" s="18">
        <f>IF($B$19&gt;0,B28/$B$19,"")</f>
        <v/>
      </c>
    </row>
    <row r="29">
      <c r="A29">
        <f>Categorias!A7</f>
        <v/>
      </c>
      <c r="B29" s="17">
        <f>-SUMIFS('Lançamentos'!$H$2:$H$1001,'Lançamentos'!$D$2:$D$1001,A29,'Lançamentos'!$I$2:$I$1001,YEAR($B$17)*100+MONTH($B$17),'Lançamentos'!$F$2:$F$1001,"Já aconteceu",'Lançamentos'!$H$2:$H$1001,"&lt;0")</f>
        <v/>
      </c>
      <c r="C29" s="18">
        <f>IF($B$19&gt;0,B29/$B$19,"")</f>
        <v/>
      </c>
    </row>
    <row r="30">
      <c r="A30">
        <f>Categorias!A8</f>
        <v/>
      </c>
      <c r="B30" s="17">
        <f>-SUMIFS('Lançamentos'!$H$2:$H$1001,'Lançamentos'!$D$2:$D$1001,A30,'Lançamentos'!$I$2:$I$1001,YEAR($B$17)*100+MONTH($B$17),'Lançamentos'!$F$2:$F$1001,"Já aconteceu",'Lançamentos'!$H$2:$H$1001,"&lt;0")</f>
        <v/>
      </c>
      <c r="C30" s="18">
        <f>IF($B$19&gt;0,B30/$B$19,"")</f>
        <v/>
      </c>
    </row>
    <row r="31">
      <c r="A31">
        <f>Categorias!A9</f>
        <v/>
      </c>
      <c r="B31" s="17">
        <f>-SUMIFS('Lançamentos'!$H$2:$H$1001,'Lançamentos'!$D$2:$D$1001,A31,'Lançamentos'!$I$2:$I$1001,YEAR($B$17)*100+MONTH($B$17),'Lançamentos'!$F$2:$F$1001,"Já aconteceu",'Lançamentos'!$H$2:$H$1001,"&lt;0")</f>
        <v/>
      </c>
      <c r="C31" s="18">
        <f>IF($B$19&gt;0,B31/$B$19,"")</f>
        <v/>
      </c>
    </row>
    <row r="32">
      <c r="A32">
        <f>Categorias!A10</f>
        <v/>
      </c>
      <c r="B32" s="17">
        <f>-SUMIFS('Lançamentos'!$H$2:$H$1001,'Lançamentos'!$D$2:$D$1001,A32,'Lançamentos'!$I$2:$I$1001,YEAR($B$17)*100+MONTH($B$17),'Lançamentos'!$F$2:$F$1001,"Já aconteceu",'Lançamentos'!$H$2:$H$1001,"&lt;0")</f>
        <v/>
      </c>
      <c r="C32" s="18">
        <f>IF($B$19&gt;0,B32/$B$19,"")</f>
        <v/>
      </c>
    </row>
    <row r="33">
      <c r="A33">
        <f>Categorias!A11</f>
        <v/>
      </c>
      <c r="B33" s="17">
        <f>-SUMIFS('Lançamentos'!$H$2:$H$1001,'Lançamentos'!$D$2:$D$1001,A33,'Lançamentos'!$I$2:$I$1001,YEAR($B$17)*100+MONTH($B$17),'Lançamentos'!$F$2:$F$1001,"Já aconteceu",'Lançamentos'!$H$2:$H$1001,"&lt;0")</f>
        <v/>
      </c>
      <c r="C33" s="18">
        <f>IF($B$19&gt;0,B33/$B$19,"")</f>
        <v/>
      </c>
    </row>
    <row r="34">
      <c r="A34">
        <f>Categorias!A12</f>
        <v/>
      </c>
      <c r="B34" s="17">
        <f>-SUMIFS('Lançamentos'!$H$2:$H$1001,'Lançamentos'!$D$2:$D$1001,A34,'Lançamentos'!$I$2:$I$1001,YEAR($B$17)*100+MONTH($B$17),'Lançamentos'!$F$2:$F$1001,"Já aconteceu",'Lançamentos'!$H$2:$H$1001,"&lt;0")</f>
        <v/>
      </c>
      <c r="C34" s="18">
        <f>IF($B$19&gt;0,B34/$B$19,"")</f>
        <v/>
      </c>
    </row>
    <row r="35">
      <c r="A35">
        <f>Categorias!A13</f>
        <v/>
      </c>
      <c r="B35" s="17">
        <f>-SUMIFS('Lançamentos'!$H$2:$H$1001,'Lançamentos'!$D$2:$D$1001,A35,'Lançamentos'!$I$2:$I$1001,YEAR($B$17)*100+MONTH($B$17),'Lançamentos'!$F$2:$F$1001,"Já aconteceu",'Lançamentos'!$H$2:$H$1001,"&lt;0")</f>
        <v/>
      </c>
      <c r="C35" s="18">
        <f>IF($B$19&gt;0,B35/$B$19,"")</f>
        <v/>
      </c>
    </row>
    <row r="38">
      <c r="A38" s="7" t="inlineStr">
        <is>
          <t>Saídas do mês por importância</t>
        </is>
      </c>
    </row>
    <row r="39">
      <c r="A39" s="16" t="inlineStr">
        <is>
          <t>Importância</t>
        </is>
      </c>
      <c r="B39" s="16" t="inlineStr">
        <is>
          <t>Gasto</t>
        </is>
      </c>
      <c r="C39" s="16" t="inlineStr">
        <is>
          <t>% das saídas</t>
        </is>
      </c>
    </row>
    <row r="40">
      <c r="A40" t="inlineStr">
        <is>
          <t>Essencial</t>
        </is>
      </c>
      <c r="B40" s="17">
        <f>-SUMIFS('Lançamentos'!$H$2:$H$1001,'Lançamentos'!$E$2:$E$1001,A40,'Lançamentos'!$I$2:$I$1001,YEAR($B$17)*100+MONTH($B$17),'Lançamentos'!$F$2:$F$1001,"Já aconteceu",'Lançamentos'!$H$2:$H$1001,"&lt;0")</f>
        <v/>
      </c>
      <c r="C40" s="18">
        <f>IF($B$19&gt;0,B40/$B$19,"")</f>
        <v/>
      </c>
    </row>
    <row r="41">
      <c r="A41" t="inlineStr">
        <is>
          <t>Dívidas</t>
        </is>
      </c>
      <c r="B41" s="17">
        <f>-SUMIFS('Lançamentos'!$H$2:$H$1001,'Lançamentos'!$E$2:$E$1001,A41,'Lançamentos'!$I$2:$I$1001,YEAR($B$17)*100+MONTH($B$17),'Lançamentos'!$F$2:$F$1001,"Já aconteceu",'Lançamentos'!$H$2:$H$1001,"&lt;0")</f>
        <v/>
      </c>
      <c r="C41" s="18">
        <f>IF($B$19&gt;0,B41/$B$19,"")</f>
        <v/>
      </c>
    </row>
    <row r="42">
      <c r="A42" t="inlineStr">
        <is>
          <t>Importante</t>
        </is>
      </c>
      <c r="B42" s="17">
        <f>-SUMIFS('Lançamentos'!$H$2:$H$1001,'Lançamentos'!$E$2:$E$1001,A42,'Lançamentos'!$I$2:$I$1001,YEAR($B$17)*100+MONTH($B$17),'Lançamentos'!$F$2:$F$1001,"Já aconteceu",'Lançamentos'!$H$2:$H$1001,"&lt;0")</f>
        <v/>
      </c>
      <c r="C42" s="18">
        <f>IF($B$19&gt;0,B42/$B$19,"")</f>
        <v/>
      </c>
    </row>
    <row r="43">
      <c r="A43" t="inlineStr">
        <is>
          <t>Quero</t>
        </is>
      </c>
      <c r="B43" s="17">
        <f>-SUMIFS('Lançamentos'!$H$2:$H$1001,'Lançamentos'!$E$2:$E$1001,A43,'Lançamentos'!$I$2:$I$1001,YEAR($B$17)*100+MONTH($B$17),'Lançamentos'!$F$2:$F$1001,"Já aconteceu",'Lançamentos'!$H$2:$H$1001,"&lt;0")</f>
        <v/>
      </c>
      <c r="C43" s="18">
        <f>IF($B$19&gt;0,B43/$B$19,"")</f>
        <v/>
      </c>
    </row>
  </sheetData>
  <conditionalFormatting sqref="B10">
    <cfRule type="cellIs" priority="1" operator="lessThan" dxfId="0">
      <formula>0</formula>
    </cfRule>
  </conditionalFormatting>
  <conditionalFormatting sqref="B15">
    <cfRule type="cellIs" priority="2" operator="greaterThan" dxfId="0">
      <formula>0.3</formula>
    </cfRule>
    <cfRule type="cellIs" priority="3" operator="between" dxfId="1">
      <formula>0.2</formula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FB1"/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8" customWidth="1" min="4" max="4"/>
    <col width="14" customWidth="1" min="5" max="5"/>
    <col width="16" customWidth="1" min="6" max="6"/>
    <col width="30" customWidth="1" min="7" max="7"/>
    <col width="16" customWidth="1" min="8" max="8"/>
    <col width="10" customWidth="1" min="9" max="9"/>
    <col width="8" customWidth="1" min="10" max="10"/>
  </cols>
  <sheetData>
    <row r="1" ht="30" customHeight="1">
      <c r="A1" s="16" t="inlineStr">
        <is>
          <t>Data</t>
        </is>
      </c>
      <c r="B1" s="16" t="inlineStr">
        <is>
          <t>Tipo</t>
        </is>
      </c>
      <c r="C1" s="16" t="inlineStr">
        <is>
          <t>Valor</t>
        </is>
      </c>
      <c r="D1" s="16" t="inlineStr">
        <is>
          <t>Categoria</t>
        </is>
      </c>
      <c r="E1" s="16" t="inlineStr">
        <is>
          <t>Importância</t>
        </is>
      </c>
      <c r="F1" s="16" t="inlineStr">
        <is>
          <t>Situação</t>
        </is>
      </c>
      <c r="G1" s="16" t="inlineStr">
        <is>
          <t>Descrição</t>
        </is>
      </c>
      <c r="H1" s="16" t="inlineStr">
        <is>
          <t>Valor com sinal</t>
        </is>
      </c>
      <c r="I1" s="16" t="inlineStr">
        <is>
          <t>Mês</t>
        </is>
      </c>
      <c r="J1" s="16" t="inlineStr">
        <is>
          <t>Peso</t>
        </is>
      </c>
    </row>
    <row r="2">
      <c r="A2" s="19" t="n">
        <v>46296</v>
      </c>
      <c r="B2" t="inlineStr">
        <is>
          <t>Entrada</t>
        </is>
      </c>
      <c r="C2" s="17" t="n">
        <v>3200</v>
      </c>
      <c r="D2" t="inlineStr">
        <is>
          <t>Salário</t>
        </is>
      </c>
      <c r="E2" t="inlineStr">
        <is>
          <t>Essencial</t>
        </is>
      </c>
      <c r="F2" t="inlineStr">
        <is>
          <t>Já aconteceu</t>
        </is>
      </c>
      <c r="G2" t="inlineStr">
        <is>
          <t>Salário (exemplo)</t>
        </is>
      </c>
      <c r="H2" s="20">
        <f>IF(OR(B2="",C2=""),0,IF(B2="Entrada",C2,-C2))</f>
        <v/>
      </c>
      <c r="I2" s="21">
        <f>IF(A2="","",YEAR(A2)*100+MONTH(A2))</f>
        <v/>
      </c>
      <c r="J2" s="21">
        <f>IF(E2="Essencial",1,IF(E2="Dívidas",2,IF(E2="Importante",3,IF(E2="Quero",4,""))))</f>
        <v/>
      </c>
    </row>
    <row r="3">
      <c r="A3" s="19" t="n">
        <v>46297</v>
      </c>
      <c r="B3" t="inlineStr">
        <is>
          <t>Saída</t>
        </is>
      </c>
      <c r="C3" s="17" t="n">
        <v>189.9</v>
      </c>
      <c r="D3" t="inlineStr">
        <is>
          <t>Mercado</t>
        </is>
      </c>
      <c r="E3" t="inlineStr">
        <is>
          <t>Essencial</t>
        </is>
      </c>
      <c r="F3" t="inlineStr">
        <is>
          <t>Já aconteceu</t>
        </is>
      </c>
      <c r="G3" t="inlineStr">
        <is>
          <t>Mercado (exemplo)</t>
        </is>
      </c>
      <c r="H3" s="20">
        <f>IF(OR(B3="",C3=""),0,IF(B3="Entrada",C3,-C3))</f>
        <v/>
      </c>
      <c r="I3" s="21">
        <f>IF(A3="","",YEAR(A3)*100+MONTH(A3))</f>
        <v/>
      </c>
      <c r="J3" s="21">
        <f>IF(E3="Essencial",1,IF(E3="Dívidas",2,IF(E3="Importante",3,IF(E3="Quero",4,""))))</f>
        <v/>
      </c>
    </row>
    <row r="4">
      <c r="A4" s="19" t="n">
        <v>46298</v>
      </c>
      <c r="B4" t="inlineStr">
        <is>
          <t>Saída</t>
        </is>
      </c>
      <c r="C4" s="17" t="n">
        <v>65</v>
      </c>
      <c r="D4" t="inlineStr">
        <is>
          <t>Transporte</t>
        </is>
      </c>
      <c r="E4" t="inlineStr">
        <is>
          <t>Essencial</t>
        </is>
      </c>
      <c r="F4" t="inlineStr">
        <is>
          <t>Já aconteceu</t>
        </is>
      </c>
      <c r="G4" t="inlineStr">
        <is>
          <t>Transporte (exemplo)</t>
        </is>
      </c>
      <c r="H4" s="20">
        <f>IF(OR(B4="",C4=""),0,IF(B4="Entrada",C4,-C4))</f>
        <v/>
      </c>
      <c r="I4" s="21">
        <f>IF(A4="","",YEAR(A4)*100+MONTH(A4))</f>
        <v/>
      </c>
      <c r="J4" s="21">
        <f>IF(E4="Essencial",1,IF(E4="Dívidas",2,IF(E4="Importante",3,IF(E4="Quero",4,""))))</f>
        <v/>
      </c>
    </row>
    <row r="5">
      <c r="A5" s="19" t="n">
        <v>46300</v>
      </c>
      <c r="B5" t="inlineStr">
        <is>
          <t>Saída</t>
        </is>
      </c>
      <c r="C5" s="17" t="n">
        <v>72</v>
      </c>
      <c r="D5" t="inlineStr">
        <is>
          <t>Lazer</t>
        </is>
      </c>
      <c r="E5" t="inlineStr">
        <is>
          <t>Quero</t>
        </is>
      </c>
      <c r="F5" t="inlineStr">
        <is>
          <t>Já aconteceu</t>
        </is>
      </c>
      <c r="G5" t="inlineStr">
        <is>
          <t>Pizza com amigos (exemplo)</t>
        </is>
      </c>
      <c r="H5" s="20">
        <f>IF(OR(B5="",C5=""),0,IF(B5="Entrada",C5,-C5))</f>
        <v/>
      </c>
      <c r="I5" s="21">
        <f>IF(A5="","",YEAR(A5)*100+MONTH(A5))</f>
        <v/>
      </c>
      <c r="J5" s="21">
        <f>IF(E5="Essencial",1,IF(E5="Dívidas",2,IF(E5="Importante",3,IF(E5="Quero",4,""))))</f>
        <v/>
      </c>
    </row>
    <row r="6">
      <c r="A6" s="19" t="n">
        <v>46304</v>
      </c>
      <c r="B6" t="inlineStr">
        <is>
          <t>Saída</t>
        </is>
      </c>
      <c r="C6" s="17" t="n">
        <v>240</v>
      </c>
      <c r="D6" t="inlineStr">
        <is>
          <t>Dívidas</t>
        </is>
      </c>
      <c r="E6" t="inlineStr">
        <is>
          <t>Dívidas</t>
        </is>
      </c>
      <c r="F6" t="inlineStr">
        <is>
          <t>Já aconteceu</t>
        </is>
      </c>
      <c r="G6" t="inlineStr">
        <is>
          <t>Cartão, parcela 2/6 (exemplo)</t>
        </is>
      </c>
      <c r="H6" s="20">
        <f>IF(OR(B6="",C6=""),0,IF(B6="Entrada",C6,-C6))</f>
        <v/>
      </c>
      <c r="I6" s="21">
        <f>IF(A6="","",YEAR(A6)*100+MONTH(A6))</f>
        <v/>
      </c>
      <c r="J6" s="21">
        <f>IF(E6="Essencial",1,IF(E6="Dívidas",2,IF(E6="Importante",3,IF(E6="Quero",4,""))))</f>
        <v/>
      </c>
    </row>
    <row r="7">
      <c r="A7" s="19" t="n">
        <v>46315</v>
      </c>
      <c r="B7" t="inlineStr">
        <is>
          <t>Saída</t>
        </is>
      </c>
      <c r="C7" s="17" t="n">
        <v>800</v>
      </c>
      <c r="D7" t="inlineStr">
        <is>
          <t>Moradia</t>
        </is>
      </c>
      <c r="E7" t="inlineStr">
        <is>
          <t>Essencial</t>
        </is>
      </c>
      <c r="F7" t="inlineStr">
        <is>
          <t>Vai acontecer</t>
        </is>
      </c>
      <c r="G7" t="inlineStr">
        <is>
          <t>Aluguel (exemplo)</t>
        </is>
      </c>
      <c r="H7" s="20">
        <f>IF(OR(B7="",C7=""),0,IF(B7="Entrada",C7,-C7))</f>
        <v/>
      </c>
      <c r="I7" s="21">
        <f>IF(A7="","",YEAR(A7)*100+MONTH(A7))</f>
        <v/>
      </c>
      <c r="J7" s="21">
        <f>IF(E7="Essencial",1,IF(E7="Dívidas",2,IF(E7="Importante",3,IF(E7="Quero",4,""))))</f>
        <v/>
      </c>
    </row>
    <row r="8">
      <c r="A8" s="19" t="n">
        <v>46317</v>
      </c>
      <c r="B8" t="inlineStr">
        <is>
          <t>Saída</t>
        </is>
      </c>
      <c r="C8" s="17" t="n">
        <v>320</v>
      </c>
      <c r="D8" t="inlineStr">
        <is>
          <t>Dívidas</t>
        </is>
      </c>
      <c r="E8" t="inlineStr">
        <is>
          <t>Dívidas</t>
        </is>
      </c>
      <c r="F8" t="inlineStr">
        <is>
          <t>Vai acontecer</t>
        </is>
      </c>
      <c r="G8" t="inlineStr">
        <is>
          <t>Empréstimo, parcela (exemplo)</t>
        </is>
      </c>
      <c r="H8" s="20">
        <f>IF(OR(B8="",C8=""),0,IF(B8="Entrada",C8,-C8))</f>
        <v/>
      </c>
      <c r="I8" s="21">
        <f>IF(A8="","",YEAR(A8)*100+MONTH(A8))</f>
        <v/>
      </c>
      <c r="J8" s="21">
        <f>IF(E8="Essencial",1,IF(E8="Dívidas",2,IF(E8="Importante",3,IF(E8="Quero",4,""))))</f>
        <v/>
      </c>
    </row>
    <row r="9">
      <c r="A9" s="19" t="n">
        <v>46320</v>
      </c>
      <c r="B9" t="inlineStr">
        <is>
          <t>Saída</t>
        </is>
      </c>
      <c r="C9" s="17" t="n">
        <v>119.9</v>
      </c>
      <c r="D9" t="inlineStr">
        <is>
          <t>Contas básicas</t>
        </is>
      </c>
      <c r="E9" t="inlineStr">
        <is>
          <t>Essencial</t>
        </is>
      </c>
      <c r="F9" t="inlineStr">
        <is>
          <t>Vai acontecer</t>
        </is>
      </c>
      <c r="G9" t="inlineStr">
        <is>
          <t>Internet (exemplo)</t>
        </is>
      </c>
      <c r="H9" s="20">
        <f>IF(OR(B9="",C9=""),0,IF(B9="Entrada",C9,-C9))</f>
        <v/>
      </c>
      <c r="I9" s="21">
        <f>IF(A9="","",YEAR(A9)*100+MONTH(A9))</f>
        <v/>
      </c>
      <c r="J9" s="21">
        <f>IF(E9="Essencial",1,IF(E9="Dívidas",2,IF(E9="Importante",3,IF(E9="Quero",4,""))))</f>
        <v/>
      </c>
    </row>
    <row r="10">
      <c r="A10" s="19" t="n">
        <v>46323</v>
      </c>
      <c r="B10" t="inlineStr">
        <is>
          <t>Entrada</t>
        </is>
      </c>
      <c r="C10" s="17" t="n">
        <v>3200</v>
      </c>
      <c r="D10" t="inlineStr">
        <is>
          <t>Salário</t>
        </is>
      </c>
      <c r="E10" t="inlineStr">
        <is>
          <t>Essencial</t>
        </is>
      </c>
      <c r="F10" t="inlineStr">
        <is>
          <t>Vai acontecer</t>
        </is>
      </c>
      <c r="G10" t="inlineStr">
        <is>
          <t>Salário (exemplo)</t>
        </is>
      </c>
      <c r="H10" s="20">
        <f>IF(OR(B10="",C10=""),0,IF(B10="Entrada",C10,-C10))</f>
        <v/>
      </c>
      <c r="I10" s="21">
        <f>IF(A10="","",YEAR(A10)*100+MONTH(A10))</f>
        <v/>
      </c>
      <c r="J10" s="21">
        <f>IF(E10="Essencial",1,IF(E10="Dívidas",2,IF(E10="Importante",3,IF(E10="Quero",4,""))))</f>
        <v/>
      </c>
    </row>
    <row r="11">
      <c r="A11" s="19" t="n">
        <v>46346</v>
      </c>
      <c r="B11" t="inlineStr">
        <is>
          <t>Saída</t>
        </is>
      </c>
      <c r="C11" s="17" t="n">
        <v>800</v>
      </c>
      <c r="D11" t="inlineStr">
        <is>
          <t>Moradia</t>
        </is>
      </c>
      <c r="E11" t="inlineStr">
        <is>
          <t>Essencial</t>
        </is>
      </c>
      <c r="F11" t="inlineStr">
        <is>
          <t>Vai acontecer</t>
        </is>
      </c>
      <c r="G11" t="inlineStr">
        <is>
          <t>Aluguel do mês que vem (exemplo)</t>
        </is>
      </c>
      <c r="H11" s="20">
        <f>IF(OR(B11="",C11=""),0,IF(B11="Entrada",C11,-C11))</f>
        <v/>
      </c>
      <c r="I11" s="21">
        <f>IF(A11="","",YEAR(A11)*100+MONTH(A11))</f>
        <v/>
      </c>
      <c r="J11" s="21">
        <f>IF(E11="Essencial",1,IF(E11="Dívidas",2,IF(E11="Importante",3,IF(E11="Quero",4,""))))</f>
        <v/>
      </c>
    </row>
    <row r="12">
      <c r="A12" s="19" t="n"/>
      <c r="C12" s="17" t="n"/>
      <c r="H12" s="20">
        <f>IF(OR(B12="",C12=""),0,IF(B12="Entrada",C12,-C12))</f>
        <v/>
      </c>
      <c r="I12" s="21">
        <f>IF(A12="","",YEAR(A12)*100+MONTH(A12))</f>
        <v/>
      </c>
      <c r="J12" s="21">
        <f>IF(E12="Essencial",1,IF(E12="Dívidas",2,IF(E12="Importante",3,IF(E12="Quero",4,""))))</f>
        <v/>
      </c>
    </row>
    <row r="13">
      <c r="A13" s="19" t="n"/>
      <c r="C13" s="17" t="n"/>
      <c r="H13" s="20">
        <f>IF(OR(B13="",C13=""),0,IF(B13="Entrada",C13,-C13))</f>
        <v/>
      </c>
      <c r="I13" s="21">
        <f>IF(A13="","",YEAR(A13)*100+MONTH(A13))</f>
        <v/>
      </c>
      <c r="J13" s="21">
        <f>IF(E13="Essencial",1,IF(E13="Dívidas",2,IF(E13="Importante",3,IF(E13="Quero",4,""))))</f>
        <v/>
      </c>
    </row>
    <row r="14">
      <c r="A14" s="19" t="n"/>
      <c r="C14" s="17" t="n"/>
      <c r="H14" s="20">
        <f>IF(OR(B14="",C14=""),0,IF(B14="Entrada",C14,-C14))</f>
        <v/>
      </c>
      <c r="I14" s="21">
        <f>IF(A14="","",YEAR(A14)*100+MONTH(A14))</f>
        <v/>
      </c>
      <c r="J14" s="21">
        <f>IF(E14="Essencial",1,IF(E14="Dívidas",2,IF(E14="Importante",3,IF(E14="Quero",4,""))))</f>
        <v/>
      </c>
    </row>
    <row r="15">
      <c r="A15" s="19" t="n"/>
      <c r="C15" s="17" t="n"/>
      <c r="H15" s="20">
        <f>IF(OR(B15="",C15=""),0,IF(B15="Entrada",C15,-C15))</f>
        <v/>
      </c>
      <c r="I15" s="21">
        <f>IF(A15="","",YEAR(A15)*100+MONTH(A15))</f>
        <v/>
      </c>
      <c r="J15" s="21">
        <f>IF(E15="Essencial",1,IF(E15="Dívidas",2,IF(E15="Importante",3,IF(E15="Quero",4,""))))</f>
        <v/>
      </c>
    </row>
    <row r="16">
      <c r="A16" s="19" t="n"/>
      <c r="C16" s="17" t="n"/>
      <c r="H16" s="20">
        <f>IF(OR(B16="",C16=""),0,IF(B16="Entrada",C16,-C16))</f>
        <v/>
      </c>
      <c r="I16" s="21">
        <f>IF(A16="","",YEAR(A16)*100+MONTH(A16))</f>
        <v/>
      </c>
      <c r="J16" s="21">
        <f>IF(E16="Essencial",1,IF(E16="Dívidas",2,IF(E16="Importante",3,IF(E16="Quero",4,""))))</f>
        <v/>
      </c>
    </row>
    <row r="17">
      <c r="A17" s="19" t="n"/>
      <c r="C17" s="17" t="n"/>
      <c r="H17" s="20">
        <f>IF(OR(B17="",C17=""),0,IF(B17="Entrada",C17,-C17))</f>
        <v/>
      </c>
      <c r="I17" s="21">
        <f>IF(A17="","",YEAR(A17)*100+MONTH(A17))</f>
        <v/>
      </c>
      <c r="J17" s="21">
        <f>IF(E17="Essencial",1,IF(E17="Dívidas",2,IF(E17="Importante",3,IF(E17="Quero",4,""))))</f>
        <v/>
      </c>
    </row>
    <row r="18">
      <c r="A18" s="19" t="n"/>
      <c r="C18" s="17" t="n"/>
      <c r="H18" s="20">
        <f>IF(OR(B18="",C18=""),0,IF(B18="Entrada",C18,-C18))</f>
        <v/>
      </c>
      <c r="I18" s="21">
        <f>IF(A18="","",YEAR(A18)*100+MONTH(A18))</f>
        <v/>
      </c>
      <c r="J18" s="21">
        <f>IF(E18="Essencial",1,IF(E18="Dívidas",2,IF(E18="Importante",3,IF(E18="Quero",4,""))))</f>
        <v/>
      </c>
    </row>
    <row r="19">
      <c r="A19" s="19" t="n"/>
      <c r="C19" s="17" t="n"/>
      <c r="H19" s="20">
        <f>IF(OR(B19="",C19=""),0,IF(B19="Entrada",C19,-C19))</f>
        <v/>
      </c>
      <c r="I19" s="21">
        <f>IF(A19="","",YEAR(A19)*100+MONTH(A19))</f>
        <v/>
      </c>
      <c r="J19" s="21">
        <f>IF(E19="Essencial",1,IF(E19="Dívidas",2,IF(E19="Importante",3,IF(E19="Quero",4,""))))</f>
        <v/>
      </c>
    </row>
    <row r="20">
      <c r="A20" s="19" t="n"/>
      <c r="C20" s="17" t="n"/>
      <c r="H20" s="20">
        <f>IF(OR(B20="",C20=""),0,IF(B20="Entrada",C20,-C20))</f>
        <v/>
      </c>
      <c r="I20" s="21">
        <f>IF(A20="","",YEAR(A20)*100+MONTH(A20))</f>
        <v/>
      </c>
      <c r="J20" s="21">
        <f>IF(E20="Essencial",1,IF(E20="Dívidas",2,IF(E20="Importante",3,IF(E20="Quero",4,""))))</f>
        <v/>
      </c>
    </row>
    <row r="21">
      <c r="A21" s="19" t="n"/>
      <c r="C21" s="17" t="n"/>
      <c r="H21" s="20">
        <f>IF(OR(B21="",C21=""),0,IF(B21="Entrada",C21,-C21))</f>
        <v/>
      </c>
      <c r="I21" s="21">
        <f>IF(A21="","",YEAR(A21)*100+MONTH(A21))</f>
        <v/>
      </c>
      <c r="J21" s="21">
        <f>IF(E21="Essencial",1,IF(E21="Dívidas",2,IF(E21="Importante",3,IF(E21="Quero",4,""))))</f>
        <v/>
      </c>
    </row>
    <row r="22">
      <c r="A22" s="19" t="n"/>
      <c r="C22" s="17" t="n"/>
      <c r="H22" s="20">
        <f>IF(OR(B22="",C22=""),0,IF(B22="Entrada",C22,-C22))</f>
        <v/>
      </c>
      <c r="I22" s="21">
        <f>IF(A22="","",YEAR(A22)*100+MONTH(A22))</f>
        <v/>
      </c>
      <c r="J22" s="21">
        <f>IF(E22="Essencial",1,IF(E22="Dívidas",2,IF(E22="Importante",3,IF(E22="Quero",4,""))))</f>
        <v/>
      </c>
    </row>
    <row r="23">
      <c r="A23" s="19" t="n"/>
      <c r="C23" s="17" t="n"/>
      <c r="H23" s="20">
        <f>IF(OR(B23="",C23=""),0,IF(B23="Entrada",C23,-C23))</f>
        <v/>
      </c>
      <c r="I23" s="21">
        <f>IF(A23="","",YEAR(A23)*100+MONTH(A23))</f>
        <v/>
      </c>
      <c r="J23" s="21">
        <f>IF(E23="Essencial",1,IF(E23="Dívidas",2,IF(E23="Importante",3,IF(E23="Quero",4,""))))</f>
        <v/>
      </c>
    </row>
    <row r="24">
      <c r="A24" s="19" t="n"/>
      <c r="C24" s="17" t="n"/>
      <c r="H24" s="20">
        <f>IF(OR(B24="",C24=""),0,IF(B24="Entrada",C24,-C24))</f>
        <v/>
      </c>
      <c r="I24" s="21">
        <f>IF(A24="","",YEAR(A24)*100+MONTH(A24))</f>
        <v/>
      </c>
      <c r="J24" s="21">
        <f>IF(E24="Essencial",1,IF(E24="Dívidas",2,IF(E24="Importante",3,IF(E24="Quero",4,""))))</f>
        <v/>
      </c>
    </row>
    <row r="25">
      <c r="A25" s="19" t="n"/>
      <c r="C25" s="17" t="n"/>
      <c r="H25" s="20">
        <f>IF(OR(B25="",C25=""),0,IF(B25="Entrada",C25,-C25))</f>
        <v/>
      </c>
      <c r="I25" s="21">
        <f>IF(A25="","",YEAR(A25)*100+MONTH(A25))</f>
        <v/>
      </c>
      <c r="J25" s="21">
        <f>IF(E25="Essencial",1,IF(E25="Dívidas",2,IF(E25="Importante",3,IF(E25="Quero",4,""))))</f>
        <v/>
      </c>
    </row>
    <row r="26">
      <c r="A26" s="19" t="n"/>
      <c r="C26" s="17" t="n"/>
      <c r="H26" s="20">
        <f>IF(OR(B26="",C26=""),0,IF(B26="Entrada",C26,-C26))</f>
        <v/>
      </c>
      <c r="I26" s="21">
        <f>IF(A26="","",YEAR(A26)*100+MONTH(A26))</f>
        <v/>
      </c>
      <c r="J26" s="21">
        <f>IF(E26="Essencial",1,IF(E26="Dívidas",2,IF(E26="Importante",3,IF(E26="Quero",4,""))))</f>
        <v/>
      </c>
    </row>
    <row r="27">
      <c r="A27" s="19" t="n"/>
      <c r="C27" s="17" t="n"/>
      <c r="H27" s="20">
        <f>IF(OR(B27="",C27=""),0,IF(B27="Entrada",C27,-C27))</f>
        <v/>
      </c>
      <c r="I27" s="21">
        <f>IF(A27="","",YEAR(A27)*100+MONTH(A27))</f>
        <v/>
      </c>
      <c r="J27" s="21">
        <f>IF(E27="Essencial",1,IF(E27="Dívidas",2,IF(E27="Importante",3,IF(E27="Quero",4,""))))</f>
        <v/>
      </c>
    </row>
    <row r="28">
      <c r="A28" s="19" t="n"/>
      <c r="C28" s="17" t="n"/>
      <c r="H28" s="20">
        <f>IF(OR(B28="",C28=""),0,IF(B28="Entrada",C28,-C28))</f>
        <v/>
      </c>
      <c r="I28" s="21">
        <f>IF(A28="","",YEAR(A28)*100+MONTH(A28))</f>
        <v/>
      </c>
      <c r="J28" s="21">
        <f>IF(E28="Essencial",1,IF(E28="Dívidas",2,IF(E28="Importante",3,IF(E28="Quero",4,""))))</f>
        <v/>
      </c>
    </row>
    <row r="29">
      <c r="A29" s="19" t="n"/>
      <c r="C29" s="17" t="n"/>
      <c r="H29" s="20">
        <f>IF(OR(B29="",C29=""),0,IF(B29="Entrada",C29,-C29))</f>
        <v/>
      </c>
      <c r="I29" s="21">
        <f>IF(A29="","",YEAR(A29)*100+MONTH(A29))</f>
        <v/>
      </c>
      <c r="J29" s="21">
        <f>IF(E29="Essencial",1,IF(E29="Dívidas",2,IF(E29="Importante",3,IF(E29="Quero",4,""))))</f>
        <v/>
      </c>
    </row>
    <row r="30">
      <c r="A30" s="19" t="n"/>
      <c r="C30" s="17" t="n"/>
      <c r="H30" s="20">
        <f>IF(OR(B30="",C30=""),0,IF(B30="Entrada",C30,-C30))</f>
        <v/>
      </c>
      <c r="I30" s="21">
        <f>IF(A30="","",YEAR(A30)*100+MONTH(A30))</f>
        <v/>
      </c>
      <c r="J30" s="21">
        <f>IF(E30="Essencial",1,IF(E30="Dívidas",2,IF(E30="Importante",3,IF(E30="Quero",4,""))))</f>
        <v/>
      </c>
    </row>
    <row r="31">
      <c r="A31" s="19" t="n"/>
      <c r="C31" s="17" t="n"/>
      <c r="H31" s="20">
        <f>IF(OR(B31="",C31=""),0,IF(B31="Entrada",C31,-C31))</f>
        <v/>
      </c>
      <c r="I31" s="21">
        <f>IF(A31="","",YEAR(A31)*100+MONTH(A31))</f>
        <v/>
      </c>
      <c r="J31" s="21">
        <f>IF(E31="Essencial",1,IF(E31="Dívidas",2,IF(E31="Importante",3,IF(E31="Quero",4,""))))</f>
        <v/>
      </c>
    </row>
    <row r="32">
      <c r="A32" s="19" t="n"/>
      <c r="C32" s="17" t="n"/>
      <c r="H32" s="20">
        <f>IF(OR(B32="",C32=""),0,IF(B32="Entrada",C32,-C32))</f>
        <v/>
      </c>
      <c r="I32" s="21">
        <f>IF(A32="","",YEAR(A32)*100+MONTH(A32))</f>
        <v/>
      </c>
      <c r="J32" s="21">
        <f>IF(E32="Essencial",1,IF(E32="Dívidas",2,IF(E32="Importante",3,IF(E32="Quero",4,""))))</f>
        <v/>
      </c>
    </row>
    <row r="33">
      <c r="A33" s="19" t="n"/>
      <c r="C33" s="17" t="n"/>
      <c r="H33" s="20">
        <f>IF(OR(B33="",C33=""),0,IF(B33="Entrada",C33,-C33))</f>
        <v/>
      </c>
      <c r="I33" s="21">
        <f>IF(A33="","",YEAR(A33)*100+MONTH(A33))</f>
        <v/>
      </c>
      <c r="J33" s="21">
        <f>IF(E33="Essencial",1,IF(E33="Dívidas",2,IF(E33="Importante",3,IF(E33="Quero",4,""))))</f>
        <v/>
      </c>
    </row>
    <row r="34">
      <c r="A34" s="19" t="n"/>
      <c r="C34" s="17" t="n"/>
      <c r="H34" s="20">
        <f>IF(OR(B34="",C34=""),0,IF(B34="Entrada",C34,-C34))</f>
        <v/>
      </c>
      <c r="I34" s="21">
        <f>IF(A34="","",YEAR(A34)*100+MONTH(A34))</f>
        <v/>
      </c>
      <c r="J34" s="21">
        <f>IF(E34="Essencial",1,IF(E34="Dívidas",2,IF(E34="Importante",3,IF(E34="Quero",4,""))))</f>
        <v/>
      </c>
    </row>
    <row r="35">
      <c r="A35" s="19" t="n"/>
      <c r="C35" s="17" t="n"/>
      <c r="H35" s="20">
        <f>IF(OR(B35="",C35=""),0,IF(B35="Entrada",C35,-C35))</f>
        <v/>
      </c>
      <c r="I35" s="21">
        <f>IF(A35="","",YEAR(A35)*100+MONTH(A35))</f>
        <v/>
      </c>
      <c r="J35" s="21">
        <f>IF(E35="Essencial",1,IF(E35="Dívidas",2,IF(E35="Importante",3,IF(E35="Quero",4,""))))</f>
        <v/>
      </c>
    </row>
    <row r="36">
      <c r="A36" s="19" t="n"/>
      <c r="C36" s="17" t="n"/>
      <c r="H36" s="20">
        <f>IF(OR(B36="",C36=""),0,IF(B36="Entrada",C36,-C36))</f>
        <v/>
      </c>
      <c r="I36" s="21">
        <f>IF(A36="","",YEAR(A36)*100+MONTH(A36))</f>
        <v/>
      </c>
      <c r="J36" s="21">
        <f>IF(E36="Essencial",1,IF(E36="Dívidas",2,IF(E36="Importante",3,IF(E36="Quero",4,""))))</f>
        <v/>
      </c>
    </row>
    <row r="37">
      <c r="A37" s="19" t="n"/>
      <c r="C37" s="17" t="n"/>
      <c r="H37" s="20">
        <f>IF(OR(B37="",C37=""),0,IF(B37="Entrada",C37,-C37))</f>
        <v/>
      </c>
      <c r="I37" s="21">
        <f>IF(A37="","",YEAR(A37)*100+MONTH(A37))</f>
        <v/>
      </c>
      <c r="J37" s="21">
        <f>IF(E37="Essencial",1,IF(E37="Dívidas",2,IF(E37="Importante",3,IF(E37="Quero",4,""))))</f>
        <v/>
      </c>
    </row>
    <row r="38">
      <c r="A38" s="19" t="n"/>
      <c r="C38" s="17" t="n"/>
      <c r="H38" s="20">
        <f>IF(OR(B38="",C38=""),0,IF(B38="Entrada",C38,-C38))</f>
        <v/>
      </c>
      <c r="I38" s="21">
        <f>IF(A38="","",YEAR(A38)*100+MONTH(A38))</f>
        <v/>
      </c>
      <c r="J38" s="21">
        <f>IF(E38="Essencial",1,IF(E38="Dívidas",2,IF(E38="Importante",3,IF(E38="Quero",4,""))))</f>
        <v/>
      </c>
    </row>
    <row r="39">
      <c r="A39" s="19" t="n"/>
      <c r="C39" s="17" t="n"/>
      <c r="H39" s="20">
        <f>IF(OR(B39="",C39=""),0,IF(B39="Entrada",C39,-C39))</f>
        <v/>
      </c>
      <c r="I39" s="21">
        <f>IF(A39="","",YEAR(A39)*100+MONTH(A39))</f>
        <v/>
      </c>
      <c r="J39" s="21">
        <f>IF(E39="Essencial",1,IF(E39="Dívidas",2,IF(E39="Importante",3,IF(E39="Quero",4,""))))</f>
        <v/>
      </c>
    </row>
    <row r="40">
      <c r="A40" s="19" t="n"/>
      <c r="C40" s="17" t="n"/>
      <c r="H40" s="20">
        <f>IF(OR(B40="",C40=""),0,IF(B40="Entrada",C40,-C40))</f>
        <v/>
      </c>
      <c r="I40" s="21">
        <f>IF(A40="","",YEAR(A40)*100+MONTH(A40))</f>
        <v/>
      </c>
      <c r="J40" s="21">
        <f>IF(E40="Essencial",1,IF(E40="Dívidas",2,IF(E40="Importante",3,IF(E40="Quero",4,""))))</f>
        <v/>
      </c>
    </row>
    <row r="41">
      <c r="A41" s="19" t="n"/>
      <c r="C41" s="17" t="n"/>
      <c r="H41" s="20">
        <f>IF(OR(B41="",C41=""),0,IF(B41="Entrada",C41,-C41))</f>
        <v/>
      </c>
      <c r="I41" s="21">
        <f>IF(A41="","",YEAR(A41)*100+MONTH(A41))</f>
        <v/>
      </c>
      <c r="J41" s="21">
        <f>IF(E41="Essencial",1,IF(E41="Dívidas",2,IF(E41="Importante",3,IF(E41="Quero",4,""))))</f>
        <v/>
      </c>
    </row>
    <row r="42">
      <c r="A42" s="19" t="n"/>
      <c r="C42" s="17" t="n"/>
      <c r="H42" s="20">
        <f>IF(OR(B42="",C42=""),0,IF(B42="Entrada",C42,-C42))</f>
        <v/>
      </c>
      <c r="I42" s="21">
        <f>IF(A42="","",YEAR(A42)*100+MONTH(A42))</f>
        <v/>
      </c>
      <c r="J42" s="21">
        <f>IF(E42="Essencial",1,IF(E42="Dívidas",2,IF(E42="Importante",3,IF(E42="Quero",4,""))))</f>
        <v/>
      </c>
    </row>
    <row r="43">
      <c r="A43" s="19" t="n"/>
      <c r="C43" s="17" t="n"/>
      <c r="H43" s="20">
        <f>IF(OR(B43="",C43=""),0,IF(B43="Entrada",C43,-C43))</f>
        <v/>
      </c>
      <c r="I43" s="21">
        <f>IF(A43="","",YEAR(A43)*100+MONTH(A43))</f>
        <v/>
      </c>
      <c r="J43" s="21">
        <f>IF(E43="Essencial",1,IF(E43="Dívidas",2,IF(E43="Importante",3,IF(E43="Quero",4,""))))</f>
        <v/>
      </c>
    </row>
    <row r="44">
      <c r="A44" s="19" t="n"/>
      <c r="C44" s="17" t="n"/>
      <c r="H44" s="20">
        <f>IF(OR(B44="",C44=""),0,IF(B44="Entrada",C44,-C44))</f>
        <v/>
      </c>
      <c r="I44" s="21">
        <f>IF(A44="","",YEAR(A44)*100+MONTH(A44))</f>
        <v/>
      </c>
      <c r="J44" s="21">
        <f>IF(E44="Essencial",1,IF(E44="Dívidas",2,IF(E44="Importante",3,IF(E44="Quero",4,""))))</f>
        <v/>
      </c>
    </row>
    <row r="45">
      <c r="A45" s="19" t="n"/>
      <c r="C45" s="17" t="n"/>
      <c r="H45" s="20">
        <f>IF(OR(B45="",C45=""),0,IF(B45="Entrada",C45,-C45))</f>
        <v/>
      </c>
      <c r="I45" s="21">
        <f>IF(A45="","",YEAR(A45)*100+MONTH(A45))</f>
        <v/>
      </c>
      <c r="J45" s="21">
        <f>IF(E45="Essencial",1,IF(E45="Dívidas",2,IF(E45="Importante",3,IF(E45="Quero",4,""))))</f>
        <v/>
      </c>
    </row>
    <row r="46">
      <c r="A46" s="19" t="n"/>
      <c r="C46" s="17" t="n"/>
      <c r="H46" s="20">
        <f>IF(OR(B46="",C46=""),0,IF(B46="Entrada",C46,-C46))</f>
        <v/>
      </c>
      <c r="I46" s="21">
        <f>IF(A46="","",YEAR(A46)*100+MONTH(A46))</f>
        <v/>
      </c>
      <c r="J46" s="21">
        <f>IF(E46="Essencial",1,IF(E46="Dívidas",2,IF(E46="Importante",3,IF(E46="Quero",4,""))))</f>
        <v/>
      </c>
    </row>
    <row r="47">
      <c r="A47" s="19" t="n"/>
      <c r="C47" s="17" t="n"/>
      <c r="H47" s="20">
        <f>IF(OR(B47="",C47=""),0,IF(B47="Entrada",C47,-C47))</f>
        <v/>
      </c>
      <c r="I47" s="21">
        <f>IF(A47="","",YEAR(A47)*100+MONTH(A47))</f>
        <v/>
      </c>
      <c r="J47" s="21">
        <f>IF(E47="Essencial",1,IF(E47="Dívidas",2,IF(E47="Importante",3,IF(E47="Quero",4,""))))</f>
        <v/>
      </c>
    </row>
    <row r="48">
      <c r="A48" s="19" t="n"/>
      <c r="C48" s="17" t="n"/>
      <c r="H48" s="20">
        <f>IF(OR(B48="",C48=""),0,IF(B48="Entrada",C48,-C48))</f>
        <v/>
      </c>
      <c r="I48" s="21">
        <f>IF(A48="","",YEAR(A48)*100+MONTH(A48))</f>
        <v/>
      </c>
      <c r="J48" s="21">
        <f>IF(E48="Essencial",1,IF(E48="Dívidas",2,IF(E48="Importante",3,IF(E48="Quero",4,""))))</f>
        <v/>
      </c>
    </row>
    <row r="49">
      <c r="A49" s="19" t="n"/>
      <c r="C49" s="17" t="n"/>
      <c r="H49" s="20">
        <f>IF(OR(B49="",C49=""),0,IF(B49="Entrada",C49,-C49))</f>
        <v/>
      </c>
      <c r="I49" s="21">
        <f>IF(A49="","",YEAR(A49)*100+MONTH(A49))</f>
        <v/>
      </c>
      <c r="J49" s="21">
        <f>IF(E49="Essencial",1,IF(E49="Dívidas",2,IF(E49="Importante",3,IF(E49="Quero",4,""))))</f>
        <v/>
      </c>
    </row>
    <row r="50">
      <c r="A50" s="19" t="n"/>
      <c r="C50" s="17" t="n"/>
      <c r="H50" s="20">
        <f>IF(OR(B50="",C50=""),0,IF(B50="Entrada",C50,-C50))</f>
        <v/>
      </c>
      <c r="I50" s="21">
        <f>IF(A50="","",YEAR(A50)*100+MONTH(A50))</f>
        <v/>
      </c>
      <c r="J50" s="21">
        <f>IF(E50="Essencial",1,IF(E50="Dívidas",2,IF(E50="Importante",3,IF(E50="Quero",4,""))))</f>
        <v/>
      </c>
    </row>
    <row r="51">
      <c r="A51" s="19" t="n"/>
      <c r="C51" s="17" t="n"/>
      <c r="H51" s="20">
        <f>IF(OR(B51="",C51=""),0,IF(B51="Entrada",C51,-C51))</f>
        <v/>
      </c>
      <c r="I51" s="21">
        <f>IF(A51="","",YEAR(A51)*100+MONTH(A51))</f>
        <v/>
      </c>
      <c r="J51" s="21">
        <f>IF(E51="Essencial",1,IF(E51="Dívidas",2,IF(E51="Importante",3,IF(E51="Quero",4,""))))</f>
        <v/>
      </c>
    </row>
    <row r="52">
      <c r="A52" s="19" t="n"/>
      <c r="C52" s="17" t="n"/>
      <c r="H52" s="20">
        <f>IF(OR(B52="",C52=""),0,IF(B52="Entrada",C52,-C52))</f>
        <v/>
      </c>
      <c r="I52" s="21">
        <f>IF(A52="","",YEAR(A52)*100+MONTH(A52))</f>
        <v/>
      </c>
      <c r="J52" s="21">
        <f>IF(E52="Essencial",1,IF(E52="Dívidas",2,IF(E52="Importante",3,IF(E52="Quero",4,""))))</f>
        <v/>
      </c>
    </row>
    <row r="53">
      <c r="A53" s="19" t="n"/>
      <c r="C53" s="17" t="n"/>
      <c r="H53" s="20">
        <f>IF(OR(B53="",C53=""),0,IF(B53="Entrada",C53,-C53))</f>
        <v/>
      </c>
      <c r="I53" s="21">
        <f>IF(A53="","",YEAR(A53)*100+MONTH(A53))</f>
        <v/>
      </c>
      <c r="J53" s="21">
        <f>IF(E53="Essencial",1,IF(E53="Dívidas",2,IF(E53="Importante",3,IF(E53="Quero",4,""))))</f>
        <v/>
      </c>
    </row>
    <row r="54">
      <c r="A54" s="19" t="n"/>
      <c r="C54" s="17" t="n"/>
      <c r="H54" s="20">
        <f>IF(OR(B54="",C54=""),0,IF(B54="Entrada",C54,-C54))</f>
        <v/>
      </c>
      <c r="I54" s="21">
        <f>IF(A54="","",YEAR(A54)*100+MONTH(A54))</f>
        <v/>
      </c>
      <c r="J54" s="21">
        <f>IF(E54="Essencial",1,IF(E54="Dívidas",2,IF(E54="Importante",3,IF(E54="Quero",4,""))))</f>
        <v/>
      </c>
    </row>
    <row r="55">
      <c r="A55" s="19" t="n"/>
      <c r="C55" s="17" t="n"/>
      <c r="H55" s="20">
        <f>IF(OR(B55="",C55=""),0,IF(B55="Entrada",C55,-C55))</f>
        <v/>
      </c>
      <c r="I55" s="21">
        <f>IF(A55="","",YEAR(A55)*100+MONTH(A55))</f>
        <v/>
      </c>
      <c r="J55" s="21">
        <f>IF(E55="Essencial",1,IF(E55="Dívidas",2,IF(E55="Importante",3,IF(E55="Quero",4,""))))</f>
        <v/>
      </c>
    </row>
    <row r="56">
      <c r="A56" s="19" t="n"/>
      <c r="C56" s="17" t="n"/>
      <c r="H56" s="20">
        <f>IF(OR(B56="",C56=""),0,IF(B56="Entrada",C56,-C56))</f>
        <v/>
      </c>
      <c r="I56" s="21">
        <f>IF(A56="","",YEAR(A56)*100+MONTH(A56))</f>
        <v/>
      </c>
      <c r="J56" s="21">
        <f>IF(E56="Essencial",1,IF(E56="Dívidas",2,IF(E56="Importante",3,IF(E56="Quero",4,""))))</f>
        <v/>
      </c>
    </row>
    <row r="57">
      <c r="A57" s="19" t="n"/>
      <c r="C57" s="17" t="n"/>
      <c r="H57" s="20">
        <f>IF(OR(B57="",C57=""),0,IF(B57="Entrada",C57,-C57))</f>
        <v/>
      </c>
      <c r="I57" s="21">
        <f>IF(A57="","",YEAR(A57)*100+MONTH(A57))</f>
        <v/>
      </c>
      <c r="J57" s="21">
        <f>IF(E57="Essencial",1,IF(E57="Dívidas",2,IF(E57="Importante",3,IF(E57="Quero",4,""))))</f>
        <v/>
      </c>
    </row>
    <row r="58">
      <c r="A58" s="19" t="n"/>
      <c r="C58" s="17" t="n"/>
      <c r="H58" s="20">
        <f>IF(OR(B58="",C58=""),0,IF(B58="Entrada",C58,-C58))</f>
        <v/>
      </c>
      <c r="I58" s="21">
        <f>IF(A58="","",YEAR(A58)*100+MONTH(A58))</f>
        <v/>
      </c>
      <c r="J58" s="21">
        <f>IF(E58="Essencial",1,IF(E58="Dívidas",2,IF(E58="Importante",3,IF(E58="Quero",4,""))))</f>
        <v/>
      </c>
    </row>
    <row r="59">
      <c r="A59" s="19" t="n"/>
      <c r="C59" s="17" t="n"/>
      <c r="H59" s="20">
        <f>IF(OR(B59="",C59=""),0,IF(B59="Entrada",C59,-C59))</f>
        <v/>
      </c>
      <c r="I59" s="21">
        <f>IF(A59="","",YEAR(A59)*100+MONTH(A59))</f>
        <v/>
      </c>
      <c r="J59" s="21">
        <f>IF(E59="Essencial",1,IF(E59="Dívidas",2,IF(E59="Importante",3,IF(E59="Quero",4,""))))</f>
        <v/>
      </c>
    </row>
    <row r="60">
      <c r="A60" s="19" t="n"/>
      <c r="C60" s="17" t="n"/>
      <c r="H60" s="20">
        <f>IF(OR(B60="",C60=""),0,IF(B60="Entrada",C60,-C60))</f>
        <v/>
      </c>
      <c r="I60" s="21">
        <f>IF(A60="","",YEAR(A60)*100+MONTH(A60))</f>
        <v/>
      </c>
      <c r="J60" s="21">
        <f>IF(E60="Essencial",1,IF(E60="Dívidas",2,IF(E60="Importante",3,IF(E60="Quero",4,""))))</f>
        <v/>
      </c>
    </row>
    <row r="61">
      <c r="A61" s="19" t="n"/>
      <c r="C61" s="17" t="n"/>
      <c r="H61" s="20">
        <f>IF(OR(B61="",C61=""),0,IF(B61="Entrada",C61,-C61))</f>
        <v/>
      </c>
      <c r="I61" s="21">
        <f>IF(A61="","",YEAR(A61)*100+MONTH(A61))</f>
        <v/>
      </c>
      <c r="J61" s="21">
        <f>IF(E61="Essencial",1,IF(E61="Dívidas",2,IF(E61="Importante",3,IF(E61="Quero",4,""))))</f>
        <v/>
      </c>
    </row>
    <row r="62">
      <c r="A62" s="19" t="n"/>
      <c r="C62" s="17" t="n"/>
      <c r="H62" s="20">
        <f>IF(OR(B62="",C62=""),0,IF(B62="Entrada",C62,-C62))</f>
        <v/>
      </c>
      <c r="I62" s="21">
        <f>IF(A62="","",YEAR(A62)*100+MONTH(A62))</f>
        <v/>
      </c>
      <c r="J62" s="21">
        <f>IF(E62="Essencial",1,IF(E62="Dívidas",2,IF(E62="Importante",3,IF(E62="Quero",4,""))))</f>
        <v/>
      </c>
    </row>
    <row r="63">
      <c r="A63" s="19" t="n"/>
      <c r="C63" s="17" t="n"/>
      <c r="H63" s="20">
        <f>IF(OR(B63="",C63=""),0,IF(B63="Entrada",C63,-C63))</f>
        <v/>
      </c>
      <c r="I63" s="21">
        <f>IF(A63="","",YEAR(A63)*100+MONTH(A63))</f>
        <v/>
      </c>
      <c r="J63" s="21">
        <f>IF(E63="Essencial",1,IF(E63="Dívidas",2,IF(E63="Importante",3,IF(E63="Quero",4,""))))</f>
        <v/>
      </c>
    </row>
    <row r="64">
      <c r="A64" s="19" t="n"/>
      <c r="C64" s="17" t="n"/>
      <c r="H64" s="20">
        <f>IF(OR(B64="",C64=""),0,IF(B64="Entrada",C64,-C64))</f>
        <v/>
      </c>
      <c r="I64" s="21">
        <f>IF(A64="","",YEAR(A64)*100+MONTH(A64))</f>
        <v/>
      </c>
      <c r="J64" s="21">
        <f>IF(E64="Essencial",1,IF(E64="Dívidas",2,IF(E64="Importante",3,IF(E64="Quero",4,""))))</f>
        <v/>
      </c>
    </row>
    <row r="65">
      <c r="A65" s="19" t="n"/>
      <c r="C65" s="17" t="n"/>
      <c r="H65" s="20">
        <f>IF(OR(B65="",C65=""),0,IF(B65="Entrada",C65,-C65))</f>
        <v/>
      </c>
      <c r="I65" s="21">
        <f>IF(A65="","",YEAR(A65)*100+MONTH(A65))</f>
        <v/>
      </c>
      <c r="J65" s="21">
        <f>IF(E65="Essencial",1,IF(E65="Dívidas",2,IF(E65="Importante",3,IF(E65="Quero",4,""))))</f>
        <v/>
      </c>
    </row>
    <row r="66">
      <c r="A66" s="19" t="n"/>
      <c r="C66" s="17" t="n"/>
      <c r="H66" s="20">
        <f>IF(OR(B66="",C66=""),0,IF(B66="Entrada",C66,-C66))</f>
        <v/>
      </c>
      <c r="I66" s="21">
        <f>IF(A66="","",YEAR(A66)*100+MONTH(A66))</f>
        <v/>
      </c>
      <c r="J66" s="21">
        <f>IF(E66="Essencial",1,IF(E66="Dívidas",2,IF(E66="Importante",3,IF(E66="Quero",4,""))))</f>
        <v/>
      </c>
    </row>
    <row r="67">
      <c r="A67" s="19" t="n"/>
      <c r="C67" s="17" t="n"/>
      <c r="H67" s="20">
        <f>IF(OR(B67="",C67=""),0,IF(B67="Entrada",C67,-C67))</f>
        <v/>
      </c>
      <c r="I67" s="21">
        <f>IF(A67="","",YEAR(A67)*100+MONTH(A67))</f>
        <v/>
      </c>
      <c r="J67" s="21">
        <f>IF(E67="Essencial",1,IF(E67="Dívidas",2,IF(E67="Importante",3,IF(E67="Quero",4,""))))</f>
        <v/>
      </c>
    </row>
    <row r="68">
      <c r="A68" s="19" t="n"/>
      <c r="C68" s="17" t="n"/>
      <c r="H68" s="20">
        <f>IF(OR(B68="",C68=""),0,IF(B68="Entrada",C68,-C68))</f>
        <v/>
      </c>
      <c r="I68" s="21">
        <f>IF(A68="","",YEAR(A68)*100+MONTH(A68))</f>
        <v/>
      </c>
      <c r="J68" s="21">
        <f>IF(E68="Essencial",1,IF(E68="Dívidas",2,IF(E68="Importante",3,IF(E68="Quero",4,""))))</f>
        <v/>
      </c>
    </row>
    <row r="69">
      <c r="A69" s="19" t="n"/>
      <c r="C69" s="17" t="n"/>
      <c r="H69" s="20">
        <f>IF(OR(B69="",C69=""),0,IF(B69="Entrada",C69,-C69))</f>
        <v/>
      </c>
      <c r="I69" s="21">
        <f>IF(A69="","",YEAR(A69)*100+MONTH(A69))</f>
        <v/>
      </c>
      <c r="J69" s="21">
        <f>IF(E69="Essencial",1,IF(E69="Dívidas",2,IF(E69="Importante",3,IF(E69="Quero",4,""))))</f>
        <v/>
      </c>
    </row>
    <row r="70">
      <c r="A70" s="19" t="n"/>
      <c r="C70" s="17" t="n"/>
      <c r="H70" s="20">
        <f>IF(OR(B70="",C70=""),0,IF(B70="Entrada",C70,-C70))</f>
        <v/>
      </c>
      <c r="I70" s="21">
        <f>IF(A70="","",YEAR(A70)*100+MONTH(A70))</f>
        <v/>
      </c>
      <c r="J70" s="21">
        <f>IF(E70="Essencial",1,IF(E70="Dívidas",2,IF(E70="Importante",3,IF(E70="Quero",4,""))))</f>
        <v/>
      </c>
    </row>
    <row r="71">
      <c r="A71" s="19" t="n"/>
      <c r="C71" s="17" t="n"/>
      <c r="H71" s="20">
        <f>IF(OR(B71="",C71=""),0,IF(B71="Entrada",C71,-C71))</f>
        <v/>
      </c>
      <c r="I71" s="21">
        <f>IF(A71="","",YEAR(A71)*100+MONTH(A71))</f>
        <v/>
      </c>
      <c r="J71" s="21">
        <f>IF(E71="Essencial",1,IF(E71="Dívidas",2,IF(E71="Importante",3,IF(E71="Quero",4,""))))</f>
        <v/>
      </c>
    </row>
    <row r="72">
      <c r="A72" s="19" t="n"/>
      <c r="C72" s="17" t="n"/>
      <c r="H72" s="20">
        <f>IF(OR(B72="",C72=""),0,IF(B72="Entrada",C72,-C72))</f>
        <v/>
      </c>
      <c r="I72" s="21">
        <f>IF(A72="","",YEAR(A72)*100+MONTH(A72))</f>
        <v/>
      </c>
      <c r="J72" s="21">
        <f>IF(E72="Essencial",1,IF(E72="Dívidas",2,IF(E72="Importante",3,IF(E72="Quero",4,""))))</f>
        <v/>
      </c>
    </row>
    <row r="73">
      <c r="A73" s="19" t="n"/>
      <c r="C73" s="17" t="n"/>
      <c r="H73" s="20">
        <f>IF(OR(B73="",C73=""),0,IF(B73="Entrada",C73,-C73))</f>
        <v/>
      </c>
      <c r="I73" s="21">
        <f>IF(A73="","",YEAR(A73)*100+MONTH(A73))</f>
        <v/>
      </c>
      <c r="J73" s="21">
        <f>IF(E73="Essencial",1,IF(E73="Dívidas",2,IF(E73="Importante",3,IF(E73="Quero",4,""))))</f>
        <v/>
      </c>
    </row>
    <row r="74">
      <c r="A74" s="19" t="n"/>
      <c r="C74" s="17" t="n"/>
      <c r="H74" s="20">
        <f>IF(OR(B74="",C74=""),0,IF(B74="Entrada",C74,-C74))</f>
        <v/>
      </c>
      <c r="I74" s="21">
        <f>IF(A74="","",YEAR(A74)*100+MONTH(A74))</f>
        <v/>
      </c>
      <c r="J74" s="21">
        <f>IF(E74="Essencial",1,IF(E74="Dívidas",2,IF(E74="Importante",3,IF(E74="Quero",4,""))))</f>
        <v/>
      </c>
    </row>
    <row r="75">
      <c r="A75" s="19" t="n"/>
      <c r="C75" s="17" t="n"/>
      <c r="H75" s="20">
        <f>IF(OR(B75="",C75=""),0,IF(B75="Entrada",C75,-C75))</f>
        <v/>
      </c>
      <c r="I75" s="21">
        <f>IF(A75="","",YEAR(A75)*100+MONTH(A75))</f>
        <v/>
      </c>
      <c r="J75" s="21">
        <f>IF(E75="Essencial",1,IF(E75="Dívidas",2,IF(E75="Importante",3,IF(E75="Quero",4,""))))</f>
        <v/>
      </c>
    </row>
    <row r="76">
      <c r="A76" s="19" t="n"/>
      <c r="C76" s="17" t="n"/>
      <c r="H76" s="20">
        <f>IF(OR(B76="",C76=""),0,IF(B76="Entrada",C76,-C76))</f>
        <v/>
      </c>
      <c r="I76" s="21">
        <f>IF(A76="","",YEAR(A76)*100+MONTH(A76))</f>
        <v/>
      </c>
      <c r="J76" s="21">
        <f>IF(E76="Essencial",1,IF(E76="Dívidas",2,IF(E76="Importante",3,IF(E76="Quero",4,""))))</f>
        <v/>
      </c>
    </row>
    <row r="77">
      <c r="A77" s="19" t="n"/>
      <c r="C77" s="17" t="n"/>
      <c r="H77" s="20">
        <f>IF(OR(B77="",C77=""),0,IF(B77="Entrada",C77,-C77))</f>
        <v/>
      </c>
      <c r="I77" s="21">
        <f>IF(A77="","",YEAR(A77)*100+MONTH(A77))</f>
        <v/>
      </c>
      <c r="J77" s="21">
        <f>IF(E77="Essencial",1,IF(E77="Dívidas",2,IF(E77="Importante",3,IF(E77="Quero",4,""))))</f>
        <v/>
      </c>
    </row>
    <row r="78">
      <c r="A78" s="19" t="n"/>
      <c r="C78" s="17" t="n"/>
      <c r="H78" s="20">
        <f>IF(OR(B78="",C78=""),0,IF(B78="Entrada",C78,-C78))</f>
        <v/>
      </c>
      <c r="I78" s="21">
        <f>IF(A78="","",YEAR(A78)*100+MONTH(A78))</f>
        <v/>
      </c>
      <c r="J78" s="21">
        <f>IF(E78="Essencial",1,IF(E78="Dívidas",2,IF(E78="Importante",3,IF(E78="Quero",4,""))))</f>
        <v/>
      </c>
    </row>
    <row r="79">
      <c r="A79" s="19" t="n"/>
      <c r="C79" s="17" t="n"/>
      <c r="H79" s="20">
        <f>IF(OR(B79="",C79=""),0,IF(B79="Entrada",C79,-C79))</f>
        <v/>
      </c>
      <c r="I79" s="21">
        <f>IF(A79="","",YEAR(A79)*100+MONTH(A79))</f>
        <v/>
      </c>
      <c r="J79" s="21">
        <f>IF(E79="Essencial",1,IF(E79="Dívidas",2,IF(E79="Importante",3,IF(E79="Quero",4,""))))</f>
        <v/>
      </c>
    </row>
    <row r="80">
      <c r="A80" s="19" t="n"/>
      <c r="C80" s="17" t="n"/>
      <c r="H80" s="20">
        <f>IF(OR(B80="",C80=""),0,IF(B80="Entrada",C80,-C80))</f>
        <v/>
      </c>
      <c r="I80" s="21">
        <f>IF(A80="","",YEAR(A80)*100+MONTH(A80))</f>
        <v/>
      </c>
      <c r="J80" s="21">
        <f>IF(E80="Essencial",1,IF(E80="Dívidas",2,IF(E80="Importante",3,IF(E80="Quero",4,""))))</f>
        <v/>
      </c>
    </row>
    <row r="81">
      <c r="A81" s="19" t="n"/>
      <c r="C81" s="17" t="n"/>
      <c r="H81" s="20">
        <f>IF(OR(B81="",C81=""),0,IF(B81="Entrada",C81,-C81))</f>
        <v/>
      </c>
      <c r="I81" s="21">
        <f>IF(A81="","",YEAR(A81)*100+MONTH(A81))</f>
        <v/>
      </c>
      <c r="J81" s="21">
        <f>IF(E81="Essencial",1,IF(E81="Dívidas",2,IF(E81="Importante",3,IF(E81="Quero",4,""))))</f>
        <v/>
      </c>
    </row>
    <row r="82">
      <c r="A82" s="19" t="n"/>
      <c r="C82" s="17" t="n"/>
      <c r="H82" s="20">
        <f>IF(OR(B82="",C82=""),0,IF(B82="Entrada",C82,-C82))</f>
        <v/>
      </c>
      <c r="I82" s="21">
        <f>IF(A82="","",YEAR(A82)*100+MONTH(A82))</f>
        <v/>
      </c>
      <c r="J82" s="21">
        <f>IF(E82="Essencial",1,IF(E82="Dívidas",2,IF(E82="Importante",3,IF(E82="Quero",4,""))))</f>
        <v/>
      </c>
    </row>
    <row r="83">
      <c r="A83" s="19" t="n"/>
      <c r="C83" s="17" t="n"/>
      <c r="H83" s="20">
        <f>IF(OR(B83="",C83=""),0,IF(B83="Entrada",C83,-C83))</f>
        <v/>
      </c>
      <c r="I83" s="21">
        <f>IF(A83="","",YEAR(A83)*100+MONTH(A83))</f>
        <v/>
      </c>
      <c r="J83" s="21">
        <f>IF(E83="Essencial",1,IF(E83="Dívidas",2,IF(E83="Importante",3,IF(E83="Quero",4,""))))</f>
        <v/>
      </c>
    </row>
    <row r="84">
      <c r="A84" s="19" t="n"/>
      <c r="C84" s="17" t="n"/>
      <c r="H84" s="20">
        <f>IF(OR(B84="",C84=""),0,IF(B84="Entrada",C84,-C84))</f>
        <v/>
      </c>
      <c r="I84" s="21">
        <f>IF(A84="","",YEAR(A84)*100+MONTH(A84))</f>
        <v/>
      </c>
      <c r="J84" s="21">
        <f>IF(E84="Essencial",1,IF(E84="Dívidas",2,IF(E84="Importante",3,IF(E84="Quero",4,""))))</f>
        <v/>
      </c>
    </row>
    <row r="85">
      <c r="A85" s="19" t="n"/>
      <c r="C85" s="17" t="n"/>
      <c r="H85" s="20">
        <f>IF(OR(B85="",C85=""),0,IF(B85="Entrada",C85,-C85))</f>
        <v/>
      </c>
      <c r="I85" s="21">
        <f>IF(A85="","",YEAR(A85)*100+MONTH(A85))</f>
        <v/>
      </c>
      <c r="J85" s="21">
        <f>IF(E85="Essencial",1,IF(E85="Dívidas",2,IF(E85="Importante",3,IF(E85="Quero",4,""))))</f>
        <v/>
      </c>
    </row>
    <row r="86">
      <c r="A86" s="19" t="n"/>
      <c r="C86" s="17" t="n"/>
      <c r="H86" s="20">
        <f>IF(OR(B86="",C86=""),0,IF(B86="Entrada",C86,-C86))</f>
        <v/>
      </c>
      <c r="I86" s="21">
        <f>IF(A86="","",YEAR(A86)*100+MONTH(A86))</f>
        <v/>
      </c>
      <c r="J86" s="21">
        <f>IF(E86="Essencial",1,IF(E86="Dívidas",2,IF(E86="Importante",3,IF(E86="Quero",4,""))))</f>
        <v/>
      </c>
    </row>
    <row r="87">
      <c r="A87" s="19" t="n"/>
      <c r="C87" s="17" t="n"/>
      <c r="H87" s="20">
        <f>IF(OR(B87="",C87=""),0,IF(B87="Entrada",C87,-C87))</f>
        <v/>
      </c>
      <c r="I87" s="21">
        <f>IF(A87="","",YEAR(A87)*100+MONTH(A87))</f>
        <v/>
      </c>
      <c r="J87" s="21">
        <f>IF(E87="Essencial",1,IF(E87="Dívidas",2,IF(E87="Importante",3,IF(E87="Quero",4,""))))</f>
        <v/>
      </c>
    </row>
    <row r="88">
      <c r="A88" s="19" t="n"/>
      <c r="C88" s="17" t="n"/>
      <c r="H88" s="20">
        <f>IF(OR(B88="",C88=""),0,IF(B88="Entrada",C88,-C88))</f>
        <v/>
      </c>
      <c r="I88" s="21">
        <f>IF(A88="","",YEAR(A88)*100+MONTH(A88))</f>
        <v/>
      </c>
      <c r="J88" s="21">
        <f>IF(E88="Essencial",1,IF(E88="Dívidas",2,IF(E88="Importante",3,IF(E88="Quero",4,""))))</f>
        <v/>
      </c>
    </row>
    <row r="89">
      <c r="A89" s="19" t="n"/>
      <c r="C89" s="17" t="n"/>
      <c r="H89" s="20">
        <f>IF(OR(B89="",C89=""),0,IF(B89="Entrada",C89,-C89))</f>
        <v/>
      </c>
      <c r="I89" s="21">
        <f>IF(A89="","",YEAR(A89)*100+MONTH(A89))</f>
        <v/>
      </c>
      <c r="J89" s="21">
        <f>IF(E89="Essencial",1,IF(E89="Dívidas",2,IF(E89="Importante",3,IF(E89="Quero",4,""))))</f>
        <v/>
      </c>
    </row>
    <row r="90">
      <c r="A90" s="19" t="n"/>
      <c r="C90" s="17" t="n"/>
      <c r="H90" s="20">
        <f>IF(OR(B90="",C90=""),0,IF(B90="Entrada",C90,-C90))</f>
        <v/>
      </c>
      <c r="I90" s="21">
        <f>IF(A90="","",YEAR(A90)*100+MONTH(A90))</f>
        <v/>
      </c>
      <c r="J90" s="21">
        <f>IF(E90="Essencial",1,IF(E90="Dívidas",2,IF(E90="Importante",3,IF(E90="Quero",4,""))))</f>
        <v/>
      </c>
    </row>
    <row r="91">
      <c r="A91" s="19" t="n"/>
      <c r="C91" s="17" t="n"/>
      <c r="H91" s="20">
        <f>IF(OR(B91="",C91=""),0,IF(B91="Entrada",C91,-C91))</f>
        <v/>
      </c>
      <c r="I91" s="21">
        <f>IF(A91="","",YEAR(A91)*100+MONTH(A91))</f>
        <v/>
      </c>
      <c r="J91" s="21">
        <f>IF(E91="Essencial",1,IF(E91="Dívidas",2,IF(E91="Importante",3,IF(E91="Quero",4,""))))</f>
        <v/>
      </c>
    </row>
    <row r="92">
      <c r="A92" s="19" t="n"/>
      <c r="C92" s="17" t="n"/>
      <c r="H92" s="20">
        <f>IF(OR(B92="",C92=""),0,IF(B92="Entrada",C92,-C92))</f>
        <v/>
      </c>
      <c r="I92" s="21">
        <f>IF(A92="","",YEAR(A92)*100+MONTH(A92))</f>
        <v/>
      </c>
      <c r="J92" s="21">
        <f>IF(E92="Essencial",1,IF(E92="Dívidas",2,IF(E92="Importante",3,IF(E92="Quero",4,""))))</f>
        <v/>
      </c>
    </row>
    <row r="93">
      <c r="A93" s="19" t="n"/>
      <c r="C93" s="17" t="n"/>
      <c r="H93" s="20">
        <f>IF(OR(B93="",C93=""),0,IF(B93="Entrada",C93,-C93))</f>
        <v/>
      </c>
      <c r="I93" s="21">
        <f>IF(A93="","",YEAR(A93)*100+MONTH(A93))</f>
        <v/>
      </c>
      <c r="J93" s="21">
        <f>IF(E93="Essencial",1,IF(E93="Dívidas",2,IF(E93="Importante",3,IF(E93="Quero",4,""))))</f>
        <v/>
      </c>
    </row>
    <row r="94">
      <c r="A94" s="19" t="n"/>
      <c r="C94" s="17" t="n"/>
      <c r="H94" s="20">
        <f>IF(OR(B94="",C94=""),0,IF(B94="Entrada",C94,-C94))</f>
        <v/>
      </c>
      <c r="I94" s="21">
        <f>IF(A94="","",YEAR(A94)*100+MONTH(A94))</f>
        <v/>
      </c>
      <c r="J94" s="21">
        <f>IF(E94="Essencial",1,IF(E94="Dívidas",2,IF(E94="Importante",3,IF(E94="Quero",4,""))))</f>
        <v/>
      </c>
    </row>
    <row r="95">
      <c r="A95" s="19" t="n"/>
      <c r="C95" s="17" t="n"/>
      <c r="H95" s="20">
        <f>IF(OR(B95="",C95=""),0,IF(B95="Entrada",C95,-C95))</f>
        <v/>
      </c>
      <c r="I95" s="21">
        <f>IF(A95="","",YEAR(A95)*100+MONTH(A95))</f>
        <v/>
      </c>
      <c r="J95" s="21">
        <f>IF(E95="Essencial",1,IF(E95="Dívidas",2,IF(E95="Importante",3,IF(E95="Quero",4,""))))</f>
        <v/>
      </c>
    </row>
    <row r="96">
      <c r="A96" s="19" t="n"/>
      <c r="C96" s="17" t="n"/>
      <c r="H96" s="20">
        <f>IF(OR(B96="",C96=""),0,IF(B96="Entrada",C96,-C96))</f>
        <v/>
      </c>
      <c r="I96" s="21">
        <f>IF(A96="","",YEAR(A96)*100+MONTH(A96))</f>
        <v/>
      </c>
      <c r="J96" s="21">
        <f>IF(E96="Essencial",1,IF(E96="Dívidas",2,IF(E96="Importante",3,IF(E96="Quero",4,""))))</f>
        <v/>
      </c>
    </row>
    <row r="97">
      <c r="A97" s="19" t="n"/>
      <c r="C97" s="17" t="n"/>
      <c r="H97" s="20">
        <f>IF(OR(B97="",C97=""),0,IF(B97="Entrada",C97,-C97))</f>
        <v/>
      </c>
      <c r="I97" s="21">
        <f>IF(A97="","",YEAR(A97)*100+MONTH(A97))</f>
        <v/>
      </c>
      <c r="J97" s="21">
        <f>IF(E97="Essencial",1,IF(E97="Dívidas",2,IF(E97="Importante",3,IF(E97="Quero",4,""))))</f>
        <v/>
      </c>
    </row>
    <row r="98">
      <c r="A98" s="19" t="n"/>
      <c r="C98" s="17" t="n"/>
      <c r="H98" s="20">
        <f>IF(OR(B98="",C98=""),0,IF(B98="Entrada",C98,-C98))</f>
        <v/>
      </c>
      <c r="I98" s="21">
        <f>IF(A98="","",YEAR(A98)*100+MONTH(A98))</f>
        <v/>
      </c>
      <c r="J98" s="21">
        <f>IF(E98="Essencial",1,IF(E98="Dívidas",2,IF(E98="Importante",3,IF(E98="Quero",4,""))))</f>
        <v/>
      </c>
    </row>
    <row r="99">
      <c r="A99" s="19" t="n"/>
      <c r="C99" s="17" t="n"/>
      <c r="H99" s="20">
        <f>IF(OR(B99="",C99=""),0,IF(B99="Entrada",C99,-C99))</f>
        <v/>
      </c>
      <c r="I99" s="21">
        <f>IF(A99="","",YEAR(A99)*100+MONTH(A99))</f>
        <v/>
      </c>
      <c r="J99" s="21">
        <f>IF(E99="Essencial",1,IF(E99="Dívidas",2,IF(E99="Importante",3,IF(E99="Quero",4,""))))</f>
        <v/>
      </c>
    </row>
    <row r="100">
      <c r="A100" s="19" t="n"/>
      <c r="C100" s="17" t="n"/>
      <c r="H100" s="20">
        <f>IF(OR(B100="",C100=""),0,IF(B100="Entrada",C100,-C100))</f>
        <v/>
      </c>
      <c r="I100" s="21">
        <f>IF(A100="","",YEAR(A100)*100+MONTH(A100))</f>
        <v/>
      </c>
      <c r="J100" s="21">
        <f>IF(E100="Essencial",1,IF(E100="Dívidas",2,IF(E100="Importante",3,IF(E100="Quero",4,""))))</f>
        <v/>
      </c>
    </row>
    <row r="101">
      <c r="A101" s="19" t="n"/>
      <c r="C101" s="17" t="n"/>
      <c r="H101" s="20">
        <f>IF(OR(B101="",C101=""),0,IF(B101="Entrada",C101,-C101))</f>
        <v/>
      </c>
      <c r="I101" s="21">
        <f>IF(A101="","",YEAR(A101)*100+MONTH(A101))</f>
        <v/>
      </c>
      <c r="J101" s="21">
        <f>IF(E101="Essencial",1,IF(E101="Dívidas",2,IF(E101="Importante",3,IF(E101="Quero",4,""))))</f>
        <v/>
      </c>
    </row>
    <row r="102">
      <c r="A102" s="19" t="n"/>
      <c r="C102" s="17" t="n"/>
      <c r="H102" s="20">
        <f>IF(OR(B102="",C102=""),0,IF(B102="Entrada",C102,-C102))</f>
        <v/>
      </c>
      <c r="I102" s="21">
        <f>IF(A102="","",YEAR(A102)*100+MONTH(A102))</f>
        <v/>
      </c>
      <c r="J102" s="21">
        <f>IF(E102="Essencial",1,IF(E102="Dívidas",2,IF(E102="Importante",3,IF(E102="Quero",4,""))))</f>
        <v/>
      </c>
    </row>
    <row r="103">
      <c r="A103" s="19" t="n"/>
      <c r="C103" s="17" t="n"/>
      <c r="H103" s="20">
        <f>IF(OR(B103="",C103=""),0,IF(B103="Entrada",C103,-C103))</f>
        <v/>
      </c>
      <c r="I103" s="21">
        <f>IF(A103="","",YEAR(A103)*100+MONTH(A103))</f>
        <v/>
      </c>
      <c r="J103" s="21">
        <f>IF(E103="Essencial",1,IF(E103="Dívidas",2,IF(E103="Importante",3,IF(E103="Quero",4,""))))</f>
        <v/>
      </c>
    </row>
    <row r="104">
      <c r="A104" s="19" t="n"/>
      <c r="C104" s="17" t="n"/>
      <c r="H104" s="20">
        <f>IF(OR(B104="",C104=""),0,IF(B104="Entrada",C104,-C104))</f>
        <v/>
      </c>
      <c r="I104" s="21">
        <f>IF(A104="","",YEAR(A104)*100+MONTH(A104))</f>
        <v/>
      </c>
      <c r="J104" s="21">
        <f>IF(E104="Essencial",1,IF(E104="Dívidas",2,IF(E104="Importante",3,IF(E104="Quero",4,""))))</f>
        <v/>
      </c>
    </row>
    <row r="105">
      <c r="A105" s="19" t="n"/>
      <c r="C105" s="17" t="n"/>
      <c r="H105" s="20">
        <f>IF(OR(B105="",C105=""),0,IF(B105="Entrada",C105,-C105))</f>
        <v/>
      </c>
      <c r="I105" s="21">
        <f>IF(A105="","",YEAR(A105)*100+MONTH(A105))</f>
        <v/>
      </c>
      <c r="J105" s="21">
        <f>IF(E105="Essencial",1,IF(E105="Dívidas",2,IF(E105="Importante",3,IF(E105="Quero",4,""))))</f>
        <v/>
      </c>
    </row>
    <row r="106">
      <c r="A106" s="19" t="n"/>
      <c r="C106" s="17" t="n"/>
      <c r="H106" s="20">
        <f>IF(OR(B106="",C106=""),0,IF(B106="Entrada",C106,-C106))</f>
        <v/>
      </c>
      <c r="I106" s="21">
        <f>IF(A106="","",YEAR(A106)*100+MONTH(A106))</f>
        <v/>
      </c>
      <c r="J106" s="21">
        <f>IF(E106="Essencial",1,IF(E106="Dívidas",2,IF(E106="Importante",3,IF(E106="Quero",4,""))))</f>
        <v/>
      </c>
    </row>
    <row r="107">
      <c r="A107" s="19" t="n"/>
      <c r="C107" s="17" t="n"/>
      <c r="H107" s="20">
        <f>IF(OR(B107="",C107=""),0,IF(B107="Entrada",C107,-C107))</f>
        <v/>
      </c>
      <c r="I107" s="21">
        <f>IF(A107="","",YEAR(A107)*100+MONTH(A107))</f>
        <v/>
      </c>
      <c r="J107" s="21">
        <f>IF(E107="Essencial",1,IF(E107="Dívidas",2,IF(E107="Importante",3,IF(E107="Quero",4,""))))</f>
        <v/>
      </c>
    </row>
    <row r="108">
      <c r="A108" s="19" t="n"/>
      <c r="C108" s="17" t="n"/>
      <c r="H108" s="20">
        <f>IF(OR(B108="",C108=""),0,IF(B108="Entrada",C108,-C108))</f>
        <v/>
      </c>
      <c r="I108" s="21">
        <f>IF(A108="","",YEAR(A108)*100+MONTH(A108))</f>
        <v/>
      </c>
      <c r="J108" s="21">
        <f>IF(E108="Essencial",1,IF(E108="Dívidas",2,IF(E108="Importante",3,IF(E108="Quero",4,""))))</f>
        <v/>
      </c>
    </row>
    <row r="109">
      <c r="A109" s="19" t="n"/>
      <c r="C109" s="17" t="n"/>
      <c r="H109" s="20">
        <f>IF(OR(B109="",C109=""),0,IF(B109="Entrada",C109,-C109))</f>
        <v/>
      </c>
      <c r="I109" s="21">
        <f>IF(A109="","",YEAR(A109)*100+MONTH(A109))</f>
        <v/>
      </c>
      <c r="J109" s="21">
        <f>IF(E109="Essencial",1,IF(E109="Dívidas",2,IF(E109="Importante",3,IF(E109="Quero",4,""))))</f>
        <v/>
      </c>
    </row>
    <row r="110">
      <c r="A110" s="19" t="n"/>
      <c r="C110" s="17" t="n"/>
      <c r="H110" s="20">
        <f>IF(OR(B110="",C110=""),0,IF(B110="Entrada",C110,-C110))</f>
        <v/>
      </c>
      <c r="I110" s="21">
        <f>IF(A110="","",YEAR(A110)*100+MONTH(A110))</f>
        <v/>
      </c>
      <c r="J110" s="21">
        <f>IF(E110="Essencial",1,IF(E110="Dívidas",2,IF(E110="Importante",3,IF(E110="Quero",4,""))))</f>
        <v/>
      </c>
    </row>
    <row r="111">
      <c r="A111" s="19" t="n"/>
      <c r="C111" s="17" t="n"/>
      <c r="H111" s="20">
        <f>IF(OR(B111="",C111=""),0,IF(B111="Entrada",C111,-C111))</f>
        <v/>
      </c>
      <c r="I111" s="21">
        <f>IF(A111="","",YEAR(A111)*100+MONTH(A111))</f>
        <v/>
      </c>
      <c r="J111" s="21">
        <f>IF(E111="Essencial",1,IF(E111="Dívidas",2,IF(E111="Importante",3,IF(E111="Quero",4,""))))</f>
        <v/>
      </c>
    </row>
    <row r="112">
      <c r="A112" s="19" t="n"/>
      <c r="C112" s="17" t="n"/>
      <c r="H112" s="20">
        <f>IF(OR(B112="",C112=""),0,IF(B112="Entrada",C112,-C112))</f>
        <v/>
      </c>
      <c r="I112" s="21">
        <f>IF(A112="","",YEAR(A112)*100+MONTH(A112))</f>
        <v/>
      </c>
      <c r="J112" s="21">
        <f>IF(E112="Essencial",1,IF(E112="Dívidas",2,IF(E112="Importante",3,IF(E112="Quero",4,""))))</f>
        <v/>
      </c>
    </row>
    <row r="113">
      <c r="A113" s="19" t="n"/>
      <c r="C113" s="17" t="n"/>
      <c r="H113" s="20">
        <f>IF(OR(B113="",C113=""),0,IF(B113="Entrada",C113,-C113))</f>
        <v/>
      </c>
      <c r="I113" s="21">
        <f>IF(A113="","",YEAR(A113)*100+MONTH(A113))</f>
        <v/>
      </c>
      <c r="J113" s="21">
        <f>IF(E113="Essencial",1,IF(E113="Dívidas",2,IF(E113="Importante",3,IF(E113="Quero",4,""))))</f>
        <v/>
      </c>
    </row>
    <row r="114">
      <c r="A114" s="19" t="n"/>
      <c r="C114" s="17" t="n"/>
      <c r="H114" s="20">
        <f>IF(OR(B114="",C114=""),0,IF(B114="Entrada",C114,-C114))</f>
        <v/>
      </c>
      <c r="I114" s="21">
        <f>IF(A114="","",YEAR(A114)*100+MONTH(A114))</f>
        <v/>
      </c>
      <c r="J114" s="21">
        <f>IF(E114="Essencial",1,IF(E114="Dívidas",2,IF(E114="Importante",3,IF(E114="Quero",4,""))))</f>
        <v/>
      </c>
    </row>
    <row r="115">
      <c r="A115" s="19" t="n"/>
      <c r="C115" s="17" t="n"/>
      <c r="H115" s="20">
        <f>IF(OR(B115="",C115=""),0,IF(B115="Entrada",C115,-C115))</f>
        <v/>
      </c>
      <c r="I115" s="21">
        <f>IF(A115="","",YEAR(A115)*100+MONTH(A115))</f>
        <v/>
      </c>
      <c r="J115" s="21">
        <f>IF(E115="Essencial",1,IF(E115="Dívidas",2,IF(E115="Importante",3,IF(E115="Quero",4,""))))</f>
        <v/>
      </c>
    </row>
    <row r="116">
      <c r="A116" s="19" t="n"/>
      <c r="C116" s="17" t="n"/>
      <c r="H116" s="20">
        <f>IF(OR(B116="",C116=""),0,IF(B116="Entrada",C116,-C116))</f>
        <v/>
      </c>
      <c r="I116" s="21">
        <f>IF(A116="","",YEAR(A116)*100+MONTH(A116))</f>
        <v/>
      </c>
      <c r="J116" s="21">
        <f>IF(E116="Essencial",1,IF(E116="Dívidas",2,IF(E116="Importante",3,IF(E116="Quero",4,""))))</f>
        <v/>
      </c>
    </row>
    <row r="117">
      <c r="A117" s="19" t="n"/>
      <c r="C117" s="17" t="n"/>
      <c r="H117" s="20">
        <f>IF(OR(B117="",C117=""),0,IF(B117="Entrada",C117,-C117))</f>
        <v/>
      </c>
      <c r="I117" s="21">
        <f>IF(A117="","",YEAR(A117)*100+MONTH(A117))</f>
        <v/>
      </c>
      <c r="J117" s="21">
        <f>IF(E117="Essencial",1,IF(E117="Dívidas",2,IF(E117="Importante",3,IF(E117="Quero",4,""))))</f>
        <v/>
      </c>
    </row>
    <row r="118">
      <c r="A118" s="19" t="n"/>
      <c r="C118" s="17" t="n"/>
      <c r="H118" s="20">
        <f>IF(OR(B118="",C118=""),0,IF(B118="Entrada",C118,-C118))</f>
        <v/>
      </c>
      <c r="I118" s="21">
        <f>IF(A118="","",YEAR(A118)*100+MONTH(A118))</f>
        <v/>
      </c>
      <c r="J118" s="21">
        <f>IF(E118="Essencial",1,IF(E118="Dívidas",2,IF(E118="Importante",3,IF(E118="Quero",4,""))))</f>
        <v/>
      </c>
    </row>
    <row r="119">
      <c r="A119" s="19" t="n"/>
      <c r="C119" s="17" t="n"/>
      <c r="H119" s="20">
        <f>IF(OR(B119="",C119=""),0,IF(B119="Entrada",C119,-C119))</f>
        <v/>
      </c>
      <c r="I119" s="21">
        <f>IF(A119="","",YEAR(A119)*100+MONTH(A119))</f>
        <v/>
      </c>
      <c r="J119" s="21">
        <f>IF(E119="Essencial",1,IF(E119="Dívidas",2,IF(E119="Importante",3,IF(E119="Quero",4,""))))</f>
        <v/>
      </c>
    </row>
    <row r="120">
      <c r="A120" s="19" t="n"/>
      <c r="C120" s="17" t="n"/>
      <c r="H120" s="20">
        <f>IF(OR(B120="",C120=""),0,IF(B120="Entrada",C120,-C120))</f>
        <v/>
      </c>
      <c r="I120" s="21">
        <f>IF(A120="","",YEAR(A120)*100+MONTH(A120))</f>
        <v/>
      </c>
      <c r="J120" s="21">
        <f>IF(E120="Essencial",1,IF(E120="Dívidas",2,IF(E120="Importante",3,IF(E120="Quero",4,""))))</f>
        <v/>
      </c>
    </row>
    <row r="121">
      <c r="A121" s="19" t="n"/>
      <c r="C121" s="17" t="n"/>
      <c r="H121" s="20">
        <f>IF(OR(B121="",C121=""),0,IF(B121="Entrada",C121,-C121))</f>
        <v/>
      </c>
      <c r="I121" s="21">
        <f>IF(A121="","",YEAR(A121)*100+MONTH(A121))</f>
        <v/>
      </c>
      <c r="J121" s="21">
        <f>IF(E121="Essencial",1,IF(E121="Dívidas",2,IF(E121="Importante",3,IF(E121="Quero",4,""))))</f>
        <v/>
      </c>
    </row>
    <row r="122">
      <c r="A122" s="19" t="n"/>
      <c r="C122" s="17" t="n"/>
      <c r="H122" s="20">
        <f>IF(OR(B122="",C122=""),0,IF(B122="Entrada",C122,-C122))</f>
        <v/>
      </c>
      <c r="I122" s="21">
        <f>IF(A122="","",YEAR(A122)*100+MONTH(A122))</f>
        <v/>
      </c>
      <c r="J122" s="21">
        <f>IF(E122="Essencial",1,IF(E122="Dívidas",2,IF(E122="Importante",3,IF(E122="Quero",4,""))))</f>
        <v/>
      </c>
    </row>
    <row r="123">
      <c r="A123" s="19" t="n"/>
      <c r="C123" s="17" t="n"/>
      <c r="H123" s="20">
        <f>IF(OR(B123="",C123=""),0,IF(B123="Entrada",C123,-C123))</f>
        <v/>
      </c>
      <c r="I123" s="21">
        <f>IF(A123="","",YEAR(A123)*100+MONTH(A123))</f>
        <v/>
      </c>
      <c r="J123" s="21">
        <f>IF(E123="Essencial",1,IF(E123="Dívidas",2,IF(E123="Importante",3,IF(E123="Quero",4,""))))</f>
        <v/>
      </c>
    </row>
    <row r="124">
      <c r="A124" s="19" t="n"/>
      <c r="C124" s="17" t="n"/>
      <c r="H124" s="20">
        <f>IF(OR(B124="",C124=""),0,IF(B124="Entrada",C124,-C124))</f>
        <v/>
      </c>
      <c r="I124" s="21">
        <f>IF(A124="","",YEAR(A124)*100+MONTH(A124))</f>
        <v/>
      </c>
      <c r="J124" s="21">
        <f>IF(E124="Essencial",1,IF(E124="Dívidas",2,IF(E124="Importante",3,IF(E124="Quero",4,""))))</f>
        <v/>
      </c>
    </row>
    <row r="125">
      <c r="A125" s="19" t="n"/>
      <c r="C125" s="17" t="n"/>
      <c r="H125" s="20">
        <f>IF(OR(B125="",C125=""),0,IF(B125="Entrada",C125,-C125))</f>
        <v/>
      </c>
      <c r="I125" s="21">
        <f>IF(A125="","",YEAR(A125)*100+MONTH(A125))</f>
        <v/>
      </c>
      <c r="J125" s="21">
        <f>IF(E125="Essencial",1,IF(E125="Dívidas",2,IF(E125="Importante",3,IF(E125="Quero",4,""))))</f>
        <v/>
      </c>
    </row>
    <row r="126">
      <c r="A126" s="19" t="n"/>
      <c r="C126" s="17" t="n"/>
      <c r="H126" s="20">
        <f>IF(OR(B126="",C126=""),0,IF(B126="Entrada",C126,-C126))</f>
        <v/>
      </c>
      <c r="I126" s="21">
        <f>IF(A126="","",YEAR(A126)*100+MONTH(A126))</f>
        <v/>
      </c>
      <c r="J126" s="21">
        <f>IF(E126="Essencial",1,IF(E126="Dívidas",2,IF(E126="Importante",3,IF(E126="Quero",4,""))))</f>
        <v/>
      </c>
    </row>
    <row r="127">
      <c r="A127" s="19" t="n"/>
      <c r="C127" s="17" t="n"/>
      <c r="H127" s="20">
        <f>IF(OR(B127="",C127=""),0,IF(B127="Entrada",C127,-C127))</f>
        <v/>
      </c>
      <c r="I127" s="21">
        <f>IF(A127="","",YEAR(A127)*100+MONTH(A127))</f>
        <v/>
      </c>
      <c r="J127" s="21">
        <f>IF(E127="Essencial",1,IF(E127="Dívidas",2,IF(E127="Importante",3,IF(E127="Quero",4,""))))</f>
        <v/>
      </c>
    </row>
    <row r="128">
      <c r="A128" s="19" t="n"/>
      <c r="C128" s="17" t="n"/>
      <c r="H128" s="20">
        <f>IF(OR(B128="",C128=""),0,IF(B128="Entrada",C128,-C128))</f>
        <v/>
      </c>
      <c r="I128" s="21">
        <f>IF(A128="","",YEAR(A128)*100+MONTH(A128))</f>
        <v/>
      </c>
      <c r="J128" s="21">
        <f>IF(E128="Essencial",1,IF(E128="Dívidas",2,IF(E128="Importante",3,IF(E128="Quero",4,""))))</f>
        <v/>
      </c>
    </row>
    <row r="129">
      <c r="A129" s="19" t="n"/>
      <c r="C129" s="17" t="n"/>
      <c r="H129" s="20">
        <f>IF(OR(B129="",C129=""),0,IF(B129="Entrada",C129,-C129))</f>
        <v/>
      </c>
      <c r="I129" s="21">
        <f>IF(A129="","",YEAR(A129)*100+MONTH(A129))</f>
        <v/>
      </c>
      <c r="J129" s="21">
        <f>IF(E129="Essencial",1,IF(E129="Dívidas",2,IF(E129="Importante",3,IF(E129="Quero",4,""))))</f>
        <v/>
      </c>
    </row>
    <row r="130">
      <c r="A130" s="19" t="n"/>
      <c r="C130" s="17" t="n"/>
      <c r="H130" s="20">
        <f>IF(OR(B130="",C130=""),0,IF(B130="Entrada",C130,-C130))</f>
        <v/>
      </c>
      <c r="I130" s="21">
        <f>IF(A130="","",YEAR(A130)*100+MONTH(A130))</f>
        <v/>
      </c>
      <c r="J130" s="21">
        <f>IF(E130="Essencial",1,IF(E130="Dívidas",2,IF(E130="Importante",3,IF(E130="Quero",4,""))))</f>
        <v/>
      </c>
    </row>
    <row r="131">
      <c r="A131" s="19" t="n"/>
      <c r="C131" s="17" t="n"/>
      <c r="H131" s="20">
        <f>IF(OR(B131="",C131=""),0,IF(B131="Entrada",C131,-C131))</f>
        <v/>
      </c>
      <c r="I131" s="21">
        <f>IF(A131="","",YEAR(A131)*100+MONTH(A131))</f>
        <v/>
      </c>
      <c r="J131" s="21">
        <f>IF(E131="Essencial",1,IF(E131="Dívidas",2,IF(E131="Importante",3,IF(E131="Quero",4,""))))</f>
        <v/>
      </c>
    </row>
    <row r="132">
      <c r="A132" s="19" t="n"/>
      <c r="C132" s="17" t="n"/>
      <c r="H132" s="20">
        <f>IF(OR(B132="",C132=""),0,IF(B132="Entrada",C132,-C132))</f>
        <v/>
      </c>
      <c r="I132" s="21">
        <f>IF(A132="","",YEAR(A132)*100+MONTH(A132))</f>
        <v/>
      </c>
      <c r="J132" s="21">
        <f>IF(E132="Essencial",1,IF(E132="Dívidas",2,IF(E132="Importante",3,IF(E132="Quero",4,""))))</f>
        <v/>
      </c>
    </row>
    <row r="133">
      <c r="A133" s="19" t="n"/>
      <c r="C133" s="17" t="n"/>
      <c r="H133" s="20">
        <f>IF(OR(B133="",C133=""),0,IF(B133="Entrada",C133,-C133))</f>
        <v/>
      </c>
      <c r="I133" s="21">
        <f>IF(A133="","",YEAR(A133)*100+MONTH(A133))</f>
        <v/>
      </c>
      <c r="J133" s="21">
        <f>IF(E133="Essencial",1,IF(E133="Dívidas",2,IF(E133="Importante",3,IF(E133="Quero",4,""))))</f>
        <v/>
      </c>
    </row>
    <row r="134">
      <c r="A134" s="19" t="n"/>
      <c r="C134" s="17" t="n"/>
      <c r="H134" s="20">
        <f>IF(OR(B134="",C134=""),0,IF(B134="Entrada",C134,-C134))</f>
        <v/>
      </c>
      <c r="I134" s="21">
        <f>IF(A134="","",YEAR(A134)*100+MONTH(A134))</f>
        <v/>
      </c>
      <c r="J134" s="21">
        <f>IF(E134="Essencial",1,IF(E134="Dívidas",2,IF(E134="Importante",3,IF(E134="Quero",4,""))))</f>
        <v/>
      </c>
    </row>
    <row r="135">
      <c r="A135" s="19" t="n"/>
      <c r="C135" s="17" t="n"/>
      <c r="H135" s="20">
        <f>IF(OR(B135="",C135=""),0,IF(B135="Entrada",C135,-C135))</f>
        <v/>
      </c>
      <c r="I135" s="21">
        <f>IF(A135="","",YEAR(A135)*100+MONTH(A135))</f>
        <v/>
      </c>
      <c r="J135" s="21">
        <f>IF(E135="Essencial",1,IF(E135="Dívidas",2,IF(E135="Importante",3,IF(E135="Quero",4,""))))</f>
        <v/>
      </c>
    </row>
    <row r="136">
      <c r="A136" s="19" t="n"/>
      <c r="C136" s="17" t="n"/>
      <c r="H136" s="20">
        <f>IF(OR(B136="",C136=""),0,IF(B136="Entrada",C136,-C136))</f>
        <v/>
      </c>
      <c r="I136" s="21">
        <f>IF(A136="","",YEAR(A136)*100+MONTH(A136))</f>
        <v/>
      </c>
      <c r="J136" s="21">
        <f>IF(E136="Essencial",1,IF(E136="Dívidas",2,IF(E136="Importante",3,IF(E136="Quero",4,""))))</f>
        <v/>
      </c>
    </row>
    <row r="137">
      <c r="A137" s="19" t="n"/>
      <c r="C137" s="17" t="n"/>
      <c r="H137" s="20">
        <f>IF(OR(B137="",C137=""),0,IF(B137="Entrada",C137,-C137))</f>
        <v/>
      </c>
      <c r="I137" s="21">
        <f>IF(A137="","",YEAR(A137)*100+MONTH(A137))</f>
        <v/>
      </c>
      <c r="J137" s="21">
        <f>IF(E137="Essencial",1,IF(E137="Dívidas",2,IF(E137="Importante",3,IF(E137="Quero",4,""))))</f>
        <v/>
      </c>
    </row>
    <row r="138">
      <c r="A138" s="19" t="n"/>
      <c r="C138" s="17" t="n"/>
      <c r="H138" s="20">
        <f>IF(OR(B138="",C138=""),0,IF(B138="Entrada",C138,-C138))</f>
        <v/>
      </c>
      <c r="I138" s="21">
        <f>IF(A138="","",YEAR(A138)*100+MONTH(A138))</f>
        <v/>
      </c>
      <c r="J138" s="21">
        <f>IF(E138="Essencial",1,IF(E138="Dívidas",2,IF(E138="Importante",3,IF(E138="Quero",4,""))))</f>
        <v/>
      </c>
    </row>
    <row r="139">
      <c r="A139" s="19" t="n"/>
      <c r="C139" s="17" t="n"/>
      <c r="H139" s="20">
        <f>IF(OR(B139="",C139=""),0,IF(B139="Entrada",C139,-C139))</f>
        <v/>
      </c>
      <c r="I139" s="21">
        <f>IF(A139="","",YEAR(A139)*100+MONTH(A139))</f>
        <v/>
      </c>
      <c r="J139" s="21">
        <f>IF(E139="Essencial",1,IF(E139="Dívidas",2,IF(E139="Importante",3,IF(E139="Quero",4,""))))</f>
        <v/>
      </c>
    </row>
    <row r="140">
      <c r="A140" s="19" t="n"/>
      <c r="C140" s="17" t="n"/>
      <c r="H140" s="20">
        <f>IF(OR(B140="",C140=""),0,IF(B140="Entrada",C140,-C140))</f>
        <v/>
      </c>
      <c r="I140" s="21">
        <f>IF(A140="","",YEAR(A140)*100+MONTH(A140))</f>
        <v/>
      </c>
      <c r="J140" s="21">
        <f>IF(E140="Essencial",1,IF(E140="Dívidas",2,IF(E140="Importante",3,IF(E140="Quero",4,""))))</f>
        <v/>
      </c>
    </row>
    <row r="141">
      <c r="A141" s="19" t="n"/>
      <c r="C141" s="17" t="n"/>
      <c r="H141" s="20">
        <f>IF(OR(B141="",C141=""),0,IF(B141="Entrada",C141,-C141))</f>
        <v/>
      </c>
      <c r="I141" s="21">
        <f>IF(A141="","",YEAR(A141)*100+MONTH(A141))</f>
        <v/>
      </c>
      <c r="J141" s="21">
        <f>IF(E141="Essencial",1,IF(E141="Dívidas",2,IF(E141="Importante",3,IF(E141="Quero",4,""))))</f>
        <v/>
      </c>
    </row>
    <row r="142">
      <c r="A142" s="19" t="n"/>
      <c r="C142" s="17" t="n"/>
      <c r="H142" s="20">
        <f>IF(OR(B142="",C142=""),0,IF(B142="Entrada",C142,-C142))</f>
        <v/>
      </c>
      <c r="I142" s="21">
        <f>IF(A142="","",YEAR(A142)*100+MONTH(A142))</f>
        <v/>
      </c>
      <c r="J142" s="21">
        <f>IF(E142="Essencial",1,IF(E142="Dívidas",2,IF(E142="Importante",3,IF(E142="Quero",4,""))))</f>
        <v/>
      </c>
    </row>
    <row r="143">
      <c r="A143" s="19" t="n"/>
      <c r="C143" s="17" t="n"/>
      <c r="H143" s="20">
        <f>IF(OR(B143="",C143=""),0,IF(B143="Entrada",C143,-C143))</f>
        <v/>
      </c>
      <c r="I143" s="21">
        <f>IF(A143="","",YEAR(A143)*100+MONTH(A143))</f>
        <v/>
      </c>
      <c r="J143" s="21">
        <f>IF(E143="Essencial",1,IF(E143="Dívidas",2,IF(E143="Importante",3,IF(E143="Quero",4,""))))</f>
        <v/>
      </c>
    </row>
    <row r="144">
      <c r="A144" s="19" t="n"/>
      <c r="C144" s="17" t="n"/>
      <c r="H144" s="20">
        <f>IF(OR(B144="",C144=""),0,IF(B144="Entrada",C144,-C144))</f>
        <v/>
      </c>
      <c r="I144" s="21">
        <f>IF(A144="","",YEAR(A144)*100+MONTH(A144))</f>
        <v/>
      </c>
      <c r="J144" s="21">
        <f>IF(E144="Essencial",1,IF(E144="Dívidas",2,IF(E144="Importante",3,IF(E144="Quero",4,""))))</f>
        <v/>
      </c>
    </row>
    <row r="145">
      <c r="A145" s="19" t="n"/>
      <c r="C145" s="17" t="n"/>
      <c r="H145" s="20">
        <f>IF(OR(B145="",C145=""),0,IF(B145="Entrada",C145,-C145))</f>
        <v/>
      </c>
      <c r="I145" s="21">
        <f>IF(A145="","",YEAR(A145)*100+MONTH(A145))</f>
        <v/>
      </c>
      <c r="J145" s="21">
        <f>IF(E145="Essencial",1,IF(E145="Dívidas",2,IF(E145="Importante",3,IF(E145="Quero",4,""))))</f>
        <v/>
      </c>
    </row>
    <row r="146">
      <c r="A146" s="19" t="n"/>
      <c r="C146" s="17" t="n"/>
      <c r="H146" s="20">
        <f>IF(OR(B146="",C146=""),0,IF(B146="Entrada",C146,-C146))</f>
        <v/>
      </c>
      <c r="I146" s="21">
        <f>IF(A146="","",YEAR(A146)*100+MONTH(A146))</f>
        <v/>
      </c>
      <c r="J146" s="21">
        <f>IF(E146="Essencial",1,IF(E146="Dívidas",2,IF(E146="Importante",3,IF(E146="Quero",4,""))))</f>
        <v/>
      </c>
    </row>
    <row r="147">
      <c r="A147" s="19" t="n"/>
      <c r="C147" s="17" t="n"/>
      <c r="H147" s="20">
        <f>IF(OR(B147="",C147=""),0,IF(B147="Entrada",C147,-C147))</f>
        <v/>
      </c>
      <c r="I147" s="21">
        <f>IF(A147="","",YEAR(A147)*100+MONTH(A147))</f>
        <v/>
      </c>
      <c r="J147" s="21">
        <f>IF(E147="Essencial",1,IF(E147="Dívidas",2,IF(E147="Importante",3,IF(E147="Quero",4,""))))</f>
        <v/>
      </c>
    </row>
    <row r="148">
      <c r="A148" s="19" t="n"/>
      <c r="C148" s="17" t="n"/>
      <c r="H148" s="20">
        <f>IF(OR(B148="",C148=""),0,IF(B148="Entrada",C148,-C148))</f>
        <v/>
      </c>
      <c r="I148" s="21">
        <f>IF(A148="","",YEAR(A148)*100+MONTH(A148))</f>
        <v/>
      </c>
      <c r="J148" s="21">
        <f>IF(E148="Essencial",1,IF(E148="Dívidas",2,IF(E148="Importante",3,IF(E148="Quero",4,""))))</f>
        <v/>
      </c>
    </row>
    <row r="149">
      <c r="A149" s="19" t="n"/>
      <c r="C149" s="17" t="n"/>
      <c r="H149" s="20">
        <f>IF(OR(B149="",C149=""),0,IF(B149="Entrada",C149,-C149))</f>
        <v/>
      </c>
      <c r="I149" s="21">
        <f>IF(A149="","",YEAR(A149)*100+MONTH(A149))</f>
        <v/>
      </c>
      <c r="J149" s="21">
        <f>IF(E149="Essencial",1,IF(E149="Dívidas",2,IF(E149="Importante",3,IF(E149="Quero",4,""))))</f>
        <v/>
      </c>
    </row>
    <row r="150">
      <c r="A150" s="19" t="n"/>
      <c r="C150" s="17" t="n"/>
      <c r="H150" s="20">
        <f>IF(OR(B150="",C150=""),0,IF(B150="Entrada",C150,-C150))</f>
        <v/>
      </c>
      <c r="I150" s="21">
        <f>IF(A150="","",YEAR(A150)*100+MONTH(A150))</f>
        <v/>
      </c>
      <c r="J150" s="21">
        <f>IF(E150="Essencial",1,IF(E150="Dívidas",2,IF(E150="Importante",3,IF(E150="Quero",4,""))))</f>
        <v/>
      </c>
    </row>
    <row r="151">
      <c r="A151" s="19" t="n"/>
      <c r="C151" s="17" t="n"/>
      <c r="H151" s="20">
        <f>IF(OR(B151="",C151=""),0,IF(B151="Entrada",C151,-C151))</f>
        <v/>
      </c>
      <c r="I151" s="21">
        <f>IF(A151="","",YEAR(A151)*100+MONTH(A151))</f>
        <v/>
      </c>
      <c r="J151" s="21">
        <f>IF(E151="Essencial",1,IF(E151="Dívidas",2,IF(E151="Importante",3,IF(E151="Quero",4,""))))</f>
        <v/>
      </c>
    </row>
    <row r="152">
      <c r="A152" s="19" t="n"/>
      <c r="C152" s="17" t="n"/>
      <c r="H152" s="20">
        <f>IF(OR(B152="",C152=""),0,IF(B152="Entrada",C152,-C152))</f>
        <v/>
      </c>
      <c r="I152" s="21">
        <f>IF(A152="","",YEAR(A152)*100+MONTH(A152))</f>
        <v/>
      </c>
      <c r="J152" s="21">
        <f>IF(E152="Essencial",1,IF(E152="Dívidas",2,IF(E152="Importante",3,IF(E152="Quero",4,""))))</f>
        <v/>
      </c>
    </row>
    <row r="153">
      <c r="A153" s="19" t="n"/>
      <c r="C153" s="17" t="n"/>
      <c r="H153" s="20">
        <f>IF(OR(B153="",C153=""),0,IF(B153="Entrada",C153,-C153))</f>
        <v/>
      </c>
      <c r="I153" s="21">
        <f>IF(A153="","",YEAR(A153)*100+MONTH(A153))</f>
        <v/>
      </c>
      <c r="J153" s="21">
        <f>IF(E153="Essencial",1,IF(E153="Dívidas",2,IF(E153="Importante",3,IF(E153="Quero",4,""))))</f>
        <v/>
      </c>
    </row>
    <row r="154">
      <c r="A154" s="19" t="n"/>
      <c r="C154" s="17" t="n"/>
      <c r="H154" s="20">
        <f>IF(OR(B154="",C154=""),0,IF(B154="Entrada",C154,-C154))</f>
        <v/>
      </c>
      <c r="I154" s="21">
        <f>IF(A154="","",YEAR(A154)*100+MONTH(A154))</f>
        <v/>
      </c>
      <c r="J154" s="21">
        <f>IF(E154="Essencial",1,IF(E154="Dívidas",2,IF(E154="Importante",3,IF(E154="Quero",4,""))))</f>
        <v/>
      </c>
    </row>
    <row r="155">
      <c r="A155" s="19" t="n"/>
      <c r="C155" s="17" t="n"/>
      <c r="H155" s="20">
        <f>IF(OR(B155="",C155=""),0,IF(B155="Entrada",C155,-C155))</f>
        <v/>
      </c>
      <c r="I155" s="21">
        <f>IF(A155="","",YEAR(A155)*100+MONTH(A155))</f>
        <v/>
      </c>
      <c r="J155" s="21">
        <f>IF(E155="Essencial",1,IF(E155="Dívidas",2,IF(E155="Importante",3,IF(E155="Quero",4,""))))</f>
        <v/>
      </c>
    </row>
    <row r="156">
      <c r="A156" s="19" t="n"/>
      <c r="C156" s="17" t="n"/>
      <c r="H156" s="20">
        <f>IF(OR(B156="",C156=""),0,IF(B156="Entrada",C156,-C156))</f>
        <v/>
      </c>
      <c r="I156" s="21">
        <f>IF(A156="","",YEAR(A156)*100+MONTH(A156))</f>
        <v/>
      </c>
      <c r="J156" s="21">
        <f>IF(E156="Essencial",1,IF(E156="Dívidas",2,IF(E156="Importante",3,IF(E156="Quero",4,""))))</f>
        <v/>
      </c>
    </row>
    <row r="157">
      <c r="A157" s="19" t="n"/>
      <c r="C157" s="17" t="n"/>
      <c r="H157" s="20">
        <f>IF(OR(B157="",C157=""),0,IF(B157="Entrada",C157,-C157))</f>
        <v/>
      </c>
      <c r="I157" s="21">
        <f>IF(A157="","",YEAR(A157)*100+MONTH(A157))</f>
        <v/>
      </c>
      <c r="J157" s="21">
        <f>IF(E157="Essencial",1,IF(E157="Dívidas",2,IF(E157="Importante",3,IF(E157="Quero",4,""))))</f>
        <v/>
      </c>
    </row>
    <row r="158">
      <c r="A158" s="19" t="n"/>
      <c r="C158" s="17" t="n"/>
      <c r="H158" s="20">
        <f>IF(OR(B158="",C158=""),0,IF(B158="Entrada",C158,-C158))</f>
        <v/>
      </c>
      <c r="I158" s="21">
        <f>IF(A158="","",YEAR(A158)*100+MONTH(A158))</f>
        <v/>
      </c>
      <c r="J158" s="21">
        <f>IF(E158="Essencial",1,IF(E158="Dívidas",2,IF(E158="Importante",3,IF(E158="Quero",4,""))))</f>
        <v/>
      </c>
    </row>
    <row r="159">
      <c r="A159" s="19" t="n"/>
      <c r="C159" s="17" t="n"/>
      <c r="H159" s="20">
        <f>IF(OR(B159="",C159=""),0,IF(B159="Entrada",C159,-C159))</f>
        <v/>
      </c>
      <c r="I159" s="21">
        <f>IF(A159="","",YEAR(A159)*100+MONTH(A159))</f>
        <v/>
      </c>
      <c r="J159" s="21">
        <f>IF(E159="Essencial",1,IF(E159="Dívidas",2,IF(E159="Importante",3,IF(E159="Quero",4,""))))</f>
        <v/>
      </c>
    </row>
    <row r="160">
      <c r="A160" s="19" t="n"/>
      <c r="C160" s="17" t="n"/>
      <c r="H160" s="20">
        <f>IF(OR(B160="",C160=""),0,IF(B160="Entrada",C160,-C160))</f>
        <v/>
      </c>
      <c r="I160" s="21">
        <f>IF(A160="","",YEAR(A160)*100+MONTH(A160))</f>
        <v/>
      </c>
      <c r="J160" s="21">
        <f>IF(E160="Essencial",1,IF(E160="Dívidas",2,IF(E160="Importante",3,IF(E160="Quero",4,""))))</f>
        <v/>
      </c>
    </row>
    <row r="161">
      <c r="A161" s="19" t="n"/>
      <c r="C161" s="17" t="n"/>
      <c r="H161" s="20">
        <f>IF(OR(B161="",C161=""),0,IF(B161="Entrada",C161,-C161))</f>
        <v/>
      </c>
      <c r="I161" s="21">
        <f>IF(A161="","",YEAR(A161)*100+MONTH(A161))</f>
        <v/>
      </c>
      <c r="J161" s="21">
        <f>IF(E161="Essencial",1,IF(E161="Dívidas",2,IF(E161="Importante",3,IF(E161="Quero",4,""))))</f>
        <v/>
      </c>
    </row>
    <row r="162">
      <c r="A162" s="19" t="n"/>
      <c r="C162" s="17" t="n"/>
      <c r="H162" s="20">
        <f>IF(OR(B162="",C162=""),0,IF(B162="Entrada",C162,-C162))</f>
        <v/>
      </c>
      <c r="I162" s="21">
        <f>IF(A162="","",YEAR(A162)*100+MONTH(A162))</f>
        <v/>
      </c>
      <c r="J162" s="21">
        <f>IF(E162="Essencial",1,IF(E162="Dívidas",2,IF(E162="Importante",3,IF(E162="Quero",4,""))))</f>
        <v/>
      </c>
    </row>
    <row r="163">
      <c r="A163" s="19" t="n"/>
      <c r="C163" s="17" t="n"/>
      <c r="H163" s="20">
        <f>IF(OR(B163="",C163=""),0,IF(B163="Entrada",C163,-C163))</f>
        <v/>
      </c>
      <c r="I163" s="21">
        <f>IF(A163="","",YEAR(A163)*100+MONTH(A163))</f>
        <v/>
      </c>
      <c r="J163" s="21">
        <f>IF(E163="Essencial",1,IF(E163="Dívidas",2,IF(E163="Importante",3,IF(E163="Quero",4,""))))</f>
        <v/>
      </c>
    </row>
    <row r="164">
      <c r="A164" s="19" t="n"/>
      <c r="C164" s="17" t="n"/>
      <c r="H164" s="20">
        <f>IF(OR(B164="",C164=""),0,IF(B164="Entrada",C164,-C164))</f>
        <v/>
      </c>
      <c r="I164" s="21">
        <f>IF(A164="","",YEAR(A164)*100+MONTH(A164))</f>
        <v/>
      </c>
      <c r="J164" s="21">
        <f>IF(E164="Essencial",1,IF(E164="Dívidas",2,IF(E164="Importante",3,IF(E164="Quero",4,""))))</f>
        <v/>
      </c>
    </row>
    <row r="165">
      <c r="A165" s="19" t="n"/>
      <c r="C165" s="17" t="n"/>
      <c r="H165" s="20">
        <f>IF(OR(B165="",C165=""),0,IF(B165="Entrada",C165,-C165))</f>
        <v/>
      </c>
      <c r="I165" s="21">
        <f>IF(A165="","",YEAR(A165)*100+MONTH(A165))</f>
        <v/>
      </c>
      <c r="J165" s="21">
        <f>IF(E165="Essencial",1,IF(E165="Dívidas",2,IF(E165="Importante",3,IF(E165="Quero",4,""))))</f>
        <v/>
      </c>
    </row>
    <row r="166">
      <c r="A166" s="19" t="n"/>
      <c r="C166" s="17" t="n"/>
      <c r="H166" s="20">
        <f>IF(OR(B166="",C166=""),0,IF(B166="Entrada",C166,-C166))</f>
        <v/>
      </c>
      <c r="I166" s="21">
        <f>IF(A166="","",YEAR(A166)*100+MONTH(A166))</f>
        <v/>
      </c>
      <c r="J166" s="21">
        <f>IF(E166="Essencial",1,IF(E166="Dívidas",2,IF(E166="Importante",3,IF(E166="Quero",4,""))))</f>
        <v/>
      </c>
    </row>
    <row r="167">
      <c r="A167" s="19" t="n"/>
      <c r="C167" s="17" t="n"/>
      <c r="H167" s="20">
        <f>IF(OR(B167="",C167=""),0,IF(B167="Entrada",C167,-C167))</f>
        <v/>
      </c>
      <c r="I167" s="21">
        <f>IF(A167="","",YEAR(A167)*100+MONTH(A167))</f>
        <v/>
      </c>
      <c r="J167" s="21">
        <f>IF(E167="Essencial",1,IF(E167="Dívidas",2,IF(E167="Importante",3,IF(E167="Quero",4,""))))</f>
        <v/>
      </c>
    </row>
    <row r="168">
      <c r="A168" s="19" t="n"/>
      <c r="C168" s="17" t="n"/>
      <c r="H168" s="20">
        <f>IF(OR(B168="",C168=""),0,IF(B168="Entrada",C168,-C168))</f>
        <v/>
      </c>
      <c r="I168" s="21">
        <f>IF(A168="","",YEAR(A168)*100+MONTH(A168))</f>
        <v/>
      </c>
      <c r="J168" s="21">
        <f>IF(E168="Essencial",1,IF(E168="Dívidas",2,IF(E168="Importante",3,IF(E168="Quero",4,""))))</f>
        <v/>
      </c>
    </row>
    <row r="169">
      <c r="A169" s="19" t="n"/>
      <c r="C169" s="17" t="n"/>
      <c r="H169" s="20">
        <f>IF(OR(B169="",C169=""),0,IF(B169="Entrada",C169,-C169))</f>
        <v/>
      </c>
      <c r="I169" s="21">
        <f>IF(A169="","",YEAR(A169)*100+MONTH(A169))</f>
        <v/>
      </c>
      <c r="J169" s="21">
        <f>IF(E169="Essencial",1,IF(E169="Dívidas",2,IF(E169="Importante",3,IF(E169="Quero",4,""))))</f>
        <v/>
      </c>
    </row>
    <row r="170">
      <c r="A170" s="19" t="n"/>
      <c r="C170" s="17" t="n"/>
      <c r="H170" s="20">
        <f>IF(OR(B170="",C170=""),0,IF(B170="Entrada",C170,-C170))</f>
        <v/>
      </c>
      <c r="I170" s="21">
        <f>IF(A170="","",YEAR(A170)*100+MONTH(A170))</f>
        <v/>
      </c>
      <c r="J170" s="21">
        <f>IF(E170="Essencial",1,IF(E170="Dívidas",2,IF(E170="Importante",3,IF(E170="Quero",4,""))))</f>
        <v/>
      </c>
    </row>
    <row r="171">
      <c r="A171" s="19" t="n"/>
      <c r="C171" s="17" t="n"/>
      <c r="H171" s="20">
        <f>IF(OR(B171="",C171=""),0,IF(B171="Entrada",C171,-C171))</f>
        <v/>
      </c>
      <c r="I171" s="21">
        <f>IF(A171="","",YEAR(A171)*100+MONTH(A171))</f>
        <v/>
      </c>
      <c r="J171" s="21">
        <f>IF(E171="Essencial",1,IF(E171="Dívidas",2,IF(E171="Importante",3,IF(E171="Quero",4,""))))</f>
        <v/>
      </c>
    </row>
    <row r="172">
      <c r="A172" s="19" t="n"/>
      <c r="C172" s="17" t="n"/>
      <c r="H172" s="20">
        <f>IF(OR(B172="",C172=""),0,IF(B172="Entrada",C172,-C172))</f>
        <v/>
      </c>
      <c r="I172" s="21">
        <f>IF(A172="","",YEAR(A172)*100+MONTH(A172))</f>
        <v/>
      </c>
      <c r="J172" s="21">
        <f>IF(E172="Essencial",1,IF(E172="Dívidas",2,IF(E172="Importante",3,IF(E172="Quero",4,""))))</f>
        <v/>
      </c>
    </row>
    <row r="173">
      <c r="A173" s="19" t="n"/>
      <c r="C173" s="17" t="n"/>
      <c r="H173" s="20">
        <f>IF(OR(B173="",C173=""),0,IF(B173="Entrada",C173,-C173))</f>
        <v/>
      </c>
      <c r="I173" s="21">
        <f>IF(A173="","",YEAR(A173)*100+MONTH(A173))</f>
        <v/>
      </c>
      <c r="J173" s="21">
        <f>IF(E173="Essencial",1,IF(E173="Dívidas",2,IF(E173="Importante",3,IF(E173="Quero",4,""))))</f>
        <v/>
      </c>
    </row>
    <row r="174">
      <c r="A174" s="19" t="n"/>
      <c r="C174" s="17" t="n"/>
      <c r="H174" s="20">
        <f>IF(OR(B174="",C174=""),0,IF(B174="Entrada",C174,-C174))</f>
        <v/>
      </c>
      <c r="I174" s="21">
        <f>IF(A174="","",YEAR(A174)*100+MONTH(A174))</f>
        <v/>
      </c>
      <c r="J174" s="21">
        <f>IF(E174="Essencial",1,IF(E174="Dívidas",2,IF(E174="Importante",3,IF(E174="Quero",4,""))))</f>
        <v/>
      </c>
    </row>
    <row r="175">
      <c r="A175" s="19" t="n"/>
      <c r="C175" s="17" t="n"/>
      <c r="H175" s="20">
        <f>IF(OR(B175="",C175=""),0,IF(B175="Entrada",C175,-C175))</f>
        <v/>
      </c>
      <c r="I175" s="21">
        <f>IF(A175="","",YEAR(A175)*100+MONTH(A175))</f>
        <v/>
      </c>
      <c r="J175" s="21">
        <f>IF(E175="Essencial",1,IF(E175="Dívidas",2,IF(E175="Importante",3,IF(E175="Quero",4,""))))</f>
        <v/>
      </c>
    </row>
    <row r="176">
      <c r="A176" s="19" t="n"/>
      <c r="C176" s="17" t="n"/>
      <c r="H176" s="20">
        <f>IF(OR(B176="",C176=""),0,IF(B176="Entrada",C176,-C176))</f>
        <v/>
      </c>
      <c r="I176" s="21">
        <f>IF(A176="","",YEAR(A176)*100+MONTH(A176))</f>
        <v/>
      </c>
      <c r="J176" s="21">
        <f>IF(E176="Essencial",1,IF(E176="Dívidas",2,IF(E176="Importante",3,IF(E176="Quero",4,""))))</f>
        <v/>
      </c>
    </row>
    <row r="177">
      <c r="A177" s="19" t="n"/>
      <c r="C177" s="17" t="n"/>
      <c r="H177" s="20">
        <f>IF(OR(B177="",C177=""),0,IF(B177="Entrada",C177,-C177))</f>
        <v/>
      </c>
      <c r="I177" s="21">
        <f>IF(A177="","",YEAR(A177)*100+MONTH(A177))</f>
        <v/>
      </c>
      <c r="J177" s="21">
        <f>IF(E177="Essencial",1,IF(E177="Dívidas",2,IF(E177="Importante",3,IF(E177="Quero",4,""))))</f>
        <v/>
      </c>
    </row>
    <row r="178">
      <c r="A178" s="19" t="n"/>
      <c r="C178" s="17" t="n"/>
      <c r="H178" s="20">
        <f>IF(OR(B178="",C178=""),0,IF(B178="Entrada",C178,-C178))</f>
        <v/>
      </c>
      <c r="I178" s="21">
        <f>IF(A178="","",YEAR(A178)*100+MONTH(A178))</f>
        <v/>
      </c>
      <c r="J178" s="21">
        <f>IF(E178="Essencial",1,IF(E178="Dívidas",2,IF(E178="Importante",3,IF(E178="Quero",4,""))))</f>
        <v/>
      </c>
    </row>
    <row r="179">
      <c r="A179" s="19" t="n"/>
      <c r="C179" s="17" t="n"/>
      <c r="H179" s="20">
        <f>IF(OR(B179="",C179=""),0,IF(B179="Entrada",C179,-C179))</f>
        <v/>
      </c>
      <c r="I179" s="21">
        <f>IF(A179="","",YEAR(A179)*100+MONTH(A179))</f>
        <v/>
      </c>
      <c r="J179" s="21">
        <f>IF(E179="Essencial",1,IF(E179="Dívidas",2,IF(E179="Importante",3,IF(E179="Quero",4,""))))</f>
        <v/>
      </c>
    </row>
    <row r="180">
      <c r="A180" s="19" t="n"/>
      <c r="C180" s="17" t="n"/>
      <c r="H180" s="20">
        <f>IF(OR(B180="",C180=""),0,IF(B180="Entrada",C180,-C180))</f>
        <v/>
      </c>
      <c r="I180" s="21">
        <f>IF(A180="","",YEAR(A180)*100+MONTH(A180))</f>
        <v/>
      </c>
      <c r="J180" s="21">
        <f>IF(E180="Essencial",1,IF(E180="Dívidas",2,IF(E180="Importante",3,IF(E180="Quero",4,""))))</f>
        <v/>
      </c>
    </row>
    <row r="181">
      <c r="A181" s="19" t="n"/>
      <c r="C181" s="17" t="n"/>
      <c r="H181" s="20">
        <f>IF(OR(B181="",C181=""),0,IF(B181="Entrada",C181,-C181))</f>
        <v/>
      </c>
      <c r="I181" s="21">
        <f>IF(A181="","",YEAR(A181)*100+MONTH(A181))</f>
        <v/>
      </c>
      <c r="J181" s="21">
        <f>IF(E181="Essencial",1,IF(E181="Dívidas",2,IF(E181="Importante",3,IF(E181="Quero",4,""))))</f>
        <v/>
      </c>
    </row>
    <row r="182">
      <c r="A182" s="19" t="n"/>
      <c r="C182" s="17" t="n"/>
      <c r="H182" s="20">
        <f>IF(OR(B182="",C182=""),0,IF(B182="Entrada",C182,-C182))</f>
        <v/>
      </c>
      <c r="I182" s="21">
        <f>IF(A182="","",YEAR(A182)*100+MONTH(A182))</f>
        <v/>
      </c>
      <c r="J182" s="21">
        <f>IF(E182="Essencial",1,IF(E182="Dívidas",2,IF(E182="Importante",3,IF(E182="Quero",4,""))))</f>
        <v/>
      </c>
    </row>
    <row r="183">
      <c r="A183" s="19" t="n"/>
      <c r="C183" s="17" t="n"/>
      <c r="H183" s="20">
        <f>IF(OR(B183="",C183=""),0,IF(B183="Entrada",C183,-C183))</f>
        <v/>
      </c>
      <c r="I183" s="21">
        <f>IF(A183="","",YEAR(A183)*100+MONTH(A183))</f>
        <v/>
      </c>
      <c r="J183" s="21">
        <f>IF(E183="Essencial",1,IF(E183="Dívidas",2,IF(E183="Importante",3,IF(E183="Quero",4,""))))</f>
        <v/>
      </c>
    </row>
    <row r="184">
      <c r="A184" s="19" t="n"/>
      <c r="C184" s="17" t="n"/>
      <c r="H184" s="20">
        <f>IF(OR(B184="",C184=""),0,IF(B184="Entrada",C184,-C184))</f>
        <v/>
      </c>
      <c r="I184" s="21">
        <f>IF(A184="","",YEAR(A184)*100+MONTH(A184))</f>
        <v/>
      </c>
      <c r="J184" s="21">
        <f>IF(E184="Essencial",1,IF(E184="Dívidas",2,IF(E184="Importante",3,IF(E184="Quero",4,""))))</f>
        <v/>
      </c>
    </row>
    <row r="185">
      <c r="A185" s="19" t="n"/>
      <c r="C185" s="17" t="n"/>
      <c r="H185" s="20">
        <f>IF(OR(B185="",C185=""),0,IF(B185="Entrada",C185,-C185))</f>
        <v/>
      </c>
      <c r="I185" s="21">
        <f>IF(A185="","",YEAR(A185)*100+MONTH(A185))</f>
        <v/>
      </c>
      <c r="J185" s="21">
        <f>IF(E185="Essencial",1,IF(E185="Dívidas",2,IF(E185="Importante",3,IF(E185="Quero",4,""))))</f>
        <v/>
      </c>
    </row>
    <row r="186">
      <c r="A186" s="19" t="n"/>
      <c r="C186" s="17" t="n"/>
      <c r="H186" s="20">
        <f>IF(OR(B186="",C186=""),0,IF(B186="Entrada",C186,-C186))</f>
        <v/>
      </c>
      <c r="I186" s="21">
        <f>IF(A186="","",YEAR(A186)*100+MONTH(A186))</f>
        <v/>
      </c>
      <c r="J186" s="21">
        <f>IF(E186="Essencial",1,IF(E186="Dívidas",2,IF(E186="Importante",3,IF(E186="Quero",4,""))))</f>
        <v/>
      </c>
    </row>
    <row r="187">
      <c r="A187" s="19" t="n"/>
      <c r="C187" s="17" t="n"/>
      <c r="H187" s="20">
        <f>IF(OR(B187="",C187=""),0,IF(B187="Entrada",C187,-C187))</f>
        <v/>
      </c>
      <c r="I187" s="21">
        <f>IF(A187="","",YEAR(A187)*100+MONTH(A187))</f>
        <v/>
      </c>
      <c r="J187" s="21">
        <f>IF(E187="Essencial",1,IF(E187="Dívidas",2,IF(E187="Importante",3,IF(E187="Quero",4,""))))</f>
        <v/>
      </c>
    </row>
    <row r="188">
      <c r="A188" s="19" t="n"/>
      <c r="C188" s="17" t="n"/>
      <c r="H188" s="20">
        <f>IF(OR(B188="",C188=""),0,IF(B188="Entrada",C188,-C188))</f>
        <v/>
      </c>
      <c r="I188" s="21">
        <f>IF(A188="","",YEAR(A188)*100+MONTH(A188))</f>
        <v/>
      </c>
      <c r="J188" s="21">
        <f>IF(E188="Essencial",1,IF(E188="Dívidas",2,IF(E188="Importante",3,IF(E188="Quero",4,""))))</f>
        <v/>
      </c>
    </row>
    <row r="189">
      <c r="A189" s="19" t="n"/>
      <c r="C189" s="17" t="n"/>
      <c r="H189" s="20">
        <f>IF(OR(B189="",C189=""),0,IF(B189="Entrada",C189,-C189))</f>
        <v/>
      </c>
      <c r="I189" s="21">
        <f>IF(A189="","",YEAR(A189)*100+MONTH(A189))</f>
        <v/>
      </c>
      <c r="J189" s="21">
        <f>IF(E189="Essencial",1,IF(E189="Dívidas",2,IF(E189="Importante",3,IF(E189="Quero",4,""))))</f>
        <v/>
      </c>
    </row>
    <row r="190">
      <c r="A190" s="19" t="n"/>
      <c r="C190" s="17" t="n"/>
      <c r="H190" s="20">
        <f>IF(OR(B190="",C190=""),0,IF(B190="Entrada",C190,-C190))</f>
        <v/>
      </c>
      <c r="I190" s="21">
        <f>IF(A190="","",YEAR(A190)*100+MONTH(A190))</f>
        <v/>
      </c>
      <c r="J190" s="21">
        <f>IF(E190="Essencial",1,IF(E190="Dívidas",2,IF(E190="Importante",3,IF(E190="Quero",4,""))))</f>
        <v/>
      </c>
    </row>
    <row r="191">
      <c r="A191" s="19" t="n"/>
      <c r="C191" s="17" t="n"/>
      <c r="H191" s="20">
        <f>IF(OR(B191="",C191=""),0,IF(B191="Entrada",C191,-C191))</f>
        <v/>
      </c>
      <c r="I191" s="21">
        <f>IF(A191="","",YEAR(A191)*100+MONTH(A191))</f>
        <v/>
      </c>
      <c r="J191" s="21">
        <f>IF(E191="Essencial",1,IF(E191="Dívidas",2,IF(E191="Importante",3,IF(E191="Quero",4,""))))</f>
        <v/>
      </c>
    </row>
    <row r="192">
      <c r="A192" s="19" t="n"/>
      <c r="C192" s="17" t="n"/>
      <c r="H192" s="20">
        <f>IF(OR(B192="",C192=""),0,IF(B192="Entrada",C192,-C192))</f>
        <v/>
      </c>
      <c r="I192" s="21">
        <f>IF(A192="","",YEAR(A192)*100+MONTH(A192))</f>
        <v/>
      </c>
      <c r="J192" s="21">
        <f>IF(E192="Essencial",1,IF(E192="Dívidas",2,IF(E192="Importante",3,IF(E192="Quero",4,""))))</f>
        <v/>
      </c>
    </row>
    <row r="193">
      <c r="A193" s="19" t="n"/>
      <c r="C193" s="17" t="n"/>
      <c r="H193" s="20">
        <f>IF(OR(B193="",C193=""),0,IF(B193="Entrada",C193,-C193))</f>
        <v/>
      </c>
      <c r="I193" s="21">
        <f>IF(A193="","",YEAR(A193)*100+MONTH(A193))</f>
        <v/>
      </c>
      <c r="J193" s="21">
        <f>IF(E193="Essencial",1,IF(E193="Dívidas",2,IF(E193="Importante",3,IF(E193="Quero",4,""))))</f>
        <v/>
      </c>
    </row>
    <row r="194">
      <c r="A194" s="19" t="n"/>
      <c r="C194" s="17" t="n"/>
      <c r="H194" s="20">
        <f>IF(OR(B194="",C194=""),0,IF(B194="Entrada",C194,-C194))</f>
        <v/>
      </c>
      <c r="I194" s="21">
        <f>IF(A194="","",YEAR(A194)*100+MONTH(A194))</f>
        <v/>
      </c>
      <c r="J194" s="21">
        <f>IF(E194="Essencial",1,IF(E194="Dívidas",2,IF(E194="Importante",3,IF(E194="Quero",4,""))))</f>
        <v/>
      </c>
    </row>
    <row r="195">
      <c r="A195" s="19" t="n"/>
      <c r="C195" s="17" t="n"/>
      <c r="H195" s="20">
        <f>IF(OR(B195="",C195=""),0,IF(B195="Entrada",C195,-C195))</f>
        <v/>
      </c>
      <c r="I195" s="21">
        <f>IF(A195="","",YEAR(A195)*100+MONTH(A195))</f>
        <v/>
      </c>
      <c r="J195" s="21">
        <f>IF(E195="Essencial",1,IF(E195="Dívidas",2,IF(E195="Importante",3,IF(E195="Quero",4,""))))</f>
        <v/>
      </c>
    </row>
    <row r="196">
      <c r="A196" s="19" t="n"/>
      <c r="C196" s="17" t="n"/>
      <c r="H196" s="20">
        <f>IF(OR(B196="",C196=""),0,IF(B196="Entrada",C196,-C196))</f>
        <v/>
      </c>
      <c r="I196" s="21">
        <f>IF(A196="","",YEAR(A196)*100+MONTH(A196))</f>
        <v/>
      </c>
      <c r="J196" s="21">
        <f>IF(E196="Essencial",1,IF(E196="Dívidas",2,IF(E196="Importante",3,IF(E196="Quero",4,""))))</f>
        <v/>
      </c>
    </row>
    <row r="197">
      <c r="A197" s="19" t="n"/>
      <c r="C197" s="17" t="n"/>
      <c r="H197" s="20">
        <f>IF(OR(B197="",C197=""),0,IF(B197="Entrada",C197,-C197))</f>
        <v/>
      </c>
      <c r="I197" s="21">
        <f>IF(A197="","",YEAR(A197)*100+MONTH(A197))</f>
        <v/>
      </c>
      <c r="J197" s="21">
        <f>IF(E197="Essencial",1,IF(E197="Dívidas",2,IF(E197="Importante",3,IF(E197="Quero",4,""))))</f>
        <v/>
      </c>
    </row>
    <row r="198">
      <c r="A198" s="19" t="n"/>
      <c r="C198" s="17" t="n"/>
      <c r="H198" s="20">
        <f>IF(OR(B198="",C198=""),0,IF(B198="Entrada",C198,-C198))</f>
        <v/>
      </c>
      <c r="I198" s="21">
        <f>IF(A198="","",YEAR(A198)*100+MONTH(A198))</f>
        <v/>
      </c>
      <c r="J198" s="21">
        <f>IF(E198="Essencial",1,IF(E198="Dívidas",2,IF(E198="Importante",3,IF(E198="Quero",4,""))))</f>
        <v/>
      </c>
    </row>
    <row r="199">
      <c r="A199" s="19" t="n"/>
      <c r="C199" s="17" t="n"/>
      <c r="H199" s="20">
        <f>IF(OR(B199="",C199=""),0,IF(B199="Entrada",C199,-C199))</f>
        <v/>
      </c>
      <c r="I199" s="21">
        <f>IF(A199="","",YEAR(A199)*100+MONTH(A199))</f>
        <v/>
      </c>
      <c r="J199" s="21">
        <f>IF(E199="Essencial",1,IF(E199="Dívidas",2,IF(E199="Importante",3,IF(E199="Quero",4,""))))</f>
        <v/>
      </c>
    </row>
    <row r="200">
      <c r="A200" s="19" t="n"/>
      <c r="C200" s="17" t="n"/>
      <c r="H200" s="20">
        <f>IF(OR(B200="",C200=""),0,IF(B200="Entrada",C200,-C200))</f>
        <v/>
      </c>
      <c r="I200" s="21">
        <f>IF(A200="","",YEAR(A200)*100+MONTH(A200))</f>
        <v/>
      </c>
      <c r="J200" s="21">
        <f>IF(E200="Essencial",1,IF(E200="Dívidas",2,IF(E200="Importante",3,IF(E200="Quero",4,""))))</f>
        <v/>
      </c>
    </row>
    <row r="201">
      <c r="A201" s="19" t="n"/>
      <c r="C201" s="17" t="n"/>
      <c r="H201" s="20">
        <f>IF(OR(B201="",C201=""),0,IF(B201="Entrada",C201,-C201))</f>
        <v/>
      </c>
      <c r="I201" s="21">
        <f>IF(A201="","",YEAR(A201)*100+MONTH(A201))</f>
        <v/>
      </c>
      <c r="J201" s="21">
        <f>IF(E201="Essencial",1,IF(E201="Dívidas",2,IF(E201="Importante",3,IF(E201="Quero",4,""))))</f>
        <v/>
      </c>
    </row>
    <row r="202">
      <c r="A202" s="19" t="n"/>
      <c r="C202" s="17" t="n"/>
      <c r="H202" s="20">
        <f>IF(OR(B202="",C202=""),0,IF(B202="Entrada",C202,-C202))</f>
        <v/>
      </c>
      <c r="I202" s="21">
        <f>IF(A202="","",YEAR(A202)*100+MONTH(A202))</f>
        <v/>
      </c>
      <c r="J202" s="21">
        <f>IF(E202="Essencial",1,IF(E202="Dívidas",2,IF(E202="Importante",3,IF(E202="Quero",4,""))))</f>
        <v/>
      </c>
    </row>
    <row r="203">
      <c r="A203" s="19" t="n"/>
      <c r="C203" s="17" t="n"/>
      <c r="H203" s="20">
        <f>IF(OR(B203="",C203=""),0,IF(B203="Entrada",C203,-C203))</f>
        <v/>
      </c>
      <c r="I203" s="21">
        <f>IF(A203="","",YEAR(A203)*100+MONTH(A203))</f>
        <v/>
      </c>
      <c r="J203" s="21">
        <f>IF(E203="Essencial",1,IF(E203="Dívidas",2,IF(E203="Importante",3,IF(E203="Quero",4,""))))</f>
        <v/>
      </c>
    </row>
    <row r="204">
      <c r="A204" s="19" t="n"/>
      <c r="C204" s="17" t="n"/>
      <c r="H204" s="20">
        <f>IF(OR(B204="",C204=""),0,IF(B204="Entrada",C204,-C204))</f>
        <v/>
      </c>
      <c r="I204" s="21">
        <f>IF(A204="","",YEAR(A204)*100+MONTH(A204))</f>
        <v/>
      </c>
      <c r="J204" s="21">
        <f>IF(E204="Essencial",1,IF(E204="Dívidas",2,IF(E204="Importante",3,IF(E204="Quero",4,""))))</f>
        <v/>
      </c>
    </row>
    <row r="205">
      <c r="A205" s="19" t="n"/>
      <c r="C205" s="17" t="n"/>
      <c r="H205" s="20">
        <f>IF(OR(B205="",C205=""),0,IF(B205="Entrada",C205,-C205))</f>
        <v/>
      </c>
      <c r="I205" s="21">
        <f>IF(A205="","",YEAR(A205)*100+MONTH(A205))</f>
        <v/>
      </c>
      <c r="J205" s="21">
        <f>IF(E205="Essencial",1,IF(E205="Dívidas",2,IF(E205="Importante",3,IF(E205="Quero",4,""))))</f>
        <v/>
      </c>
    </row>
    <row r="206">
      <c r="A206" s="19" t="n"/>
      <c r="C206" s="17" t="n"/>
      <c r="H206" s="20">
        <f>IF(OR(B206="",C206=""),0,IF(B206="Entrada",C206,-C206))</f>
        <v/>
      </c>
      <c r="I206" s="21">
        <f>IF(A206="","",YEAR(A206)*100+MONTH(A206))</f>
        <v/>
      </c>
      <c r="J206" s="21">
        <f>IF(E206="Essencial",1,IF(E206="Dívidas",2,IF(E206="Importante",3,IF(E206="Quero",4,""))))</f>
        <v/>
      </c>
    </row>
    <row r="207">
      <c r="A207" s="19" t="n"/>
      <c r="C207" s="17" t="n"/>
      <c r="H207" s="20">
        <f>IF(OR(B207="",C207=""),0,IF(B207="Entrada",C207,-C207))</f>
        <v/>
      </c>
      <c r="I207" s="21">
        <f>IF(A207="","",YEAR(A207)*100+MONTH(A207))</f>
        <v/>
      </c>
      <c r="J207" s="21">
        <f>IF(E207="Essencial",1,IF(E207="Dívidas",2,IF(E207="Importante",3,IF(E207="Quero",4,""))))</f>
        <v/>
      </c>
    </row>
    <row r="208">
      <c r="A208" s="19" t="n"/>
      <c r="C208" s="17" t="n"/>
      <c r="H208" s="20">
        <f>IF(OR(B208="",C208=""),0,IF(B208="Entrada",C208,-C208))</f>
        <v/>
      </c>
      <c r="I208" s="21">
        <f>IF(A208="","",YEAR(A208)*100+MONTH(A208))</f>
        <v/>
      </c>
      <c r="J208" s="21">
        <f>IF(E208="Essencial",1,IF(E208="Dívidas",2,IF(E208="Importante",3,IF(E208="Quero",4,""))))</f>
        <v/>
      </c>
    </row>
    <row r="209">
      <c r="A209" s="19" t="n"/>
      <c r="C209" s="17" t="n"/>
      <c r="H209" s="20">
        <f>IF(OR(B209="",C209=""),0,IF(B209="Entrada",C209,-C209))</f>
        <v/>
      </c>
      <c r="I209" s="21">
        <f>IF(A209="","",YEAR(A209)*100+MONTH(A209))</f>
        <v/>
      </c>
      <c r="J209" s="21">
        <f>IF(E209="Essencial",1,IF(E209="Dívidas",2,IF(E209="Importante",3,IF(E209="Quero",4,""))))</f>
        <v/>
      </c>
    </row>
    <row r="210">
      <c r="A210" s="19" t="n"/>
      <c r="C210" s="17" t="n"/>
      <c r="H210" s="20">
        <f>IF(OR(B210="",C210=""),0,IF(B210="Entrada",C210,-C210))</f>
        <v/>
      </c>
      <c r="I210" s="21">
        <f>IF(A210="","",YEAR(A210)*100+MONTH(A210))</f>
        <v/>
      </c>
      <c r="J210" s="21">
        <f>IF(E210="Essencial",1,IF(E210="Dívidas",2,IF(E210="Importante",3,IF(E210="Quero",4,""))))</f>
        <v/>
      </c>
    </row>
    <row r="211">
      <c r="A211" s="19" t="n"/>
      <c r="C211" s="17" t="n"/>
      <c r="H211" s="20">
        <f>IF(OR(B211="",C211=""),0,IF(B211="Entrada",C211,-C211))</f>
        <v/>
      </c>
      <c r="I211" s="21">
        <f>IF(A211="","",YEAR(A211)*100+MONTH(A211))</f>
        <v/>
      </c>
      <c r="J211" s="21">
        <f>IF(E211="Essencial",1,IF(E211="Dívidas",2,IF(E211="Importante",3,IF(E211="Quero",4,""))))</f>
        <v/>
      </c>
    </row>
    <row r="212">
      <c r="A212" s="19" t="n"/>
      <c r="C212" s="17" t="n"/>
      <c r="H212" s="20">
        <f>IF(OR(B212="",C212=""),0,IF(B212="Entrada",C212,-C212))</f>
        <v/>
      </c>
      <c r="I212" s="21">
        <f>IF(A212="","",YEAR(A212)*100+MONTH(A212))</f>
        <v/>
      </c>
      <c r="J212" s="21">
        <f>IF(E212="Essencial",1,IF(E212="Dívidas",2,IF(E212="Importante",3,IF(E212="Quero",4,""))))</f>
        <v/>
      </c>
    </row>
    <row r="213">
      <c r="A213" s="19" t="n"/>
      <c r="C213" s="17" t="n"/>
      <c r="H213" s="20">
        <f>IF(OR(B213="",C213=""),0,IF(B213="Entrada",C213,-C213))</f>
        <v/>
      </c>
      <c r="I213" s="21">
        <f>IF(A213="","",YEAR(A213)*100+MONTH(A213))</f>
        <v/>
      </c>
      <c r="J213" s="21">
        <f>IF(E213="Essencial",1,IF(E213="Dívidas",2,IF(E213="Importante",3,IF(E213="Quero",4,""))))</f>
        <v/>
      </c>
    </row>
    <row r="214">
      <c r="A214" s="19" t="n"/>
      <c r="C214" s="17" t="n"/>
      <c r="H214" s="20">
        <f>IF(OR(B214="",C214=""),0,IF(B214="Entrada",C214,-C214))</f>
        <v/>
      </c>
      <c r="I214" s="21">
        <f>IF(A214="","",YEAR(A214)*100+MONTH(A214))</f>
        <v/>
      </c>
      <c r="J214" s="21">
        <f>IF(E214="Essencial",1,IF(E214="Dívidas",2,IF(E214="Importante",3,IF(E214="Quero",4,""))))</f>
        <v/>
      </c>
    </row>
    <row r="215">
      <c r="A215" s="19" t="n"/>
      <c r="C215" s="17" t="n"/>
      <c r="H215" s="20">
        <f>IF(OR(B215="",C215=""),0,IF(B215="Entrada",C215,-C215))</f>
        <v/>
      </c>
      <c r="I215" s="21">
        <f>IF(A215="","",YEAR(A215)*100+MONTH(A215))</f>
        <v/>
      </c>
      <c r="J215" s="21">
        <f>IF(E215="Essencial",1,IF(E215="Dívidas",2,IF(E215="Importante",3,IF(E215="Quero",4,""))))</f>
        <v/>
      </c>
    </row>
    <row r="216">
      <c r="A216" s="19" t="n"/>
      <c r="C216" s="17" t="n"/>
      <c r="H216" s="20">
        <f>IF(OR(B216="",C216=""),0,IF(B216="Entrada",C216,-C216))</f>
        <v/>
      </c>
      <c r="I216" s="21">
        <f>IF(A216="","",YEAR(A216)*100+MONTH(A216))</f>
        <v/>
      </c>
      <c r="J216" s="21">
        <f>IF(E216="Essencial",1,IF(E216="Dívidas",2,IF(E216="Importante",3,IF(E216="Quero",4,""))))</f>
        <v/>
      </c>
    </row>
    <row r="217">
      <c r="A217" s="19" t="n"/>
      <c r="C217" s="17" t="n"/>
      <c r="H217" s="20">
        <f>IF(OR(B217="",C217=""),0,IF(B217="Entrada",C217,-C217))</f>
        <v/>
      </c>
      <c r="I217" s="21">
        <f>IF(A217="","",YEAR(A217)*100+MONTH(A217))</f>
        <v/>
      </c>
      <c r="J217" s="21">
        <f>IF(E217="Essencial",1,IF(E217="Dívidas",2,IF(E217="Importante",3,IF(E217="Quero",4,""))))</f>
        <v/>
      </c>
    </row>
    <row r="218">
      <c r="A218" s="19" t="n"/>
      <c r="C218" s="17" t="n"/>
      <c r="H218" s="20">
        <f>IF(OR(B218="",C218=""),0,IF(B218="Entrada",C218,-C218))</f>
        <v/>
      </c>
      <c r="I218" s="21">
        <f>IF(A218="","",YEAR(A218)*100+MONTH(A218))</f>
        <v/>
      </c>
      <c r="J218" s="21">
        <f>IF(E218="Essencial",1,IF(E218="Dívidas",2,IF(E218="Importante",3,IF(E218="Quero",4,""))))</f>
        <v/>
      </c>
    </row>
    <row r="219">
      <c r="A219" s="19" t="n"/>
      <c r="C219" s="17" t="n"/>
      <c r="H219" s="20">
        <f>IF(OR(B219="",C219=""),0,IF(B219="Entrada",C219,-C219))</f>
        <v/>
      </c>
      <c r="I219" s="21">
        <f>IF(A219="","",YEAR(A219)*100+MONTH(A219))</f>
        <v/>
      </c>
      <c r="J219" s="21">
        <f>IF(E219="Essencial",1,IF(E219="Dívidas",2,IF(E219="Importante",3,IF(E219="Quero",4,""))))</f>
        <v/>
      </c>
    </row>
    <row r="220">
      <c r="A220" s="19" t="n"/>
      <c r="C220" s="17" t="n"/>
      <c r="H220" s="20">
        <f>IF(OR(B220="",C220=""),0,IF(B220="Entrada",C220,-C220))</f>
        <v/>
      </c>
      <c r="I220" s="21">
        <f>IF(A220="","",YEAR(A220)*100+MONTH(A220))</f>
        <v/>
      </c>
      <c r="J220" s="21">
        <f>IF(E220="Essencial",1,IF(E220="Dívidas",2,IF(E220="Importante",3,IF(E220="Quero",4,""))))</f>
        <v/>
      </c>
    </row>
    <row r="221">
      <c r="A221" s="19" t="n"/>
      <c r="C221" s="17" t="n"/>
      <c r="H221" s="20">
        <f>IF(OR(B221="",C221=""),0,IF(B221="Entrada",C221,-C221))</f>
        <v/>
      </c>
      <c r="I221" s="21">
        <f>IF(A221="","",YEAR(A221)*100+MONTH(A221))</f>
        <v/>
      </c>
      <c r="J221" s="21">
        <f>IF(E221="Essencial",1,IF(E221="Dívidas",2,IF(E221="Importante",3,IF(E221="Quero",4,""))))</f>
        <v/>
      </c>
    </row>
    <row r="222">
      <c r="A222" s="19" t="n"/>
      <c r="C222" s="17" t="n"/>
      <c r="H222" s="20">
        <f>IF(OR(B222="",C222=""),0,IF(B222="Entrada",C222,-C222))</f>
        <v/>
      </c>
      <c r="I222" s="21">
        <f>IF(A222="","",YEAR(A222)*100+MONTH(A222))</f>
        <v/>
      </c>
      <c r="J222" s="21">
        <f>IF(E222="Essencial",1,IF(E222="Dívidas",2,IF(E222="Importante",3,IF(E222="Quero",4,""))))</f>
        <v/>
      </c>
    </row>
    <row r="223">
      <c r="A223" s="19" t="n"/>
      <c r="C223" s="17" t="n"/>
      <c r="H223" s="20">
        <f>IF(OR(B223="",C223=""),0,IF(B223="Entrada",C223,-C223))</f>
        <v/>
      </c>
      <c r="I223" s="21">
        <f>IF(A223="","",YEAR(A223)*100+MONTH(A223))</f>
        <v/>
      </c>
      <c r="J223" s="21">
        <f>IF(E223="Essencial",1,IF(E223="Dívidas",2,IF(E223="Importante",3,IF(E223="Quero",4,""))))</f>
        <v/>
      </c>
    </row>
    <row r="224">
      <c r="A224" s="19" t="n"/>
      <c r="C224" s="17" t="n"/>
      <c r="H224" s="20">
        <f>IF(OR(B224="",C224=""),0,IF(B224="Entrada",C224,-C224))</f>
        <v/>
      </c>
      <c r="I224" s="21">
        <f>IF(A224="","",YEAR(A224)*100+MONTH(A224))</f>
        <v/>
      </c>
      <c r="J224" s="21">
        <f>IF(E224="Essencial",1,IF(E224="Dívidas",2,IF(E224="Importante",3,IF(E224="Quero",4,""))))</f>
        <v/>
      </c>
    </row>
    <row r="225">
      <c r="A225" s="19" t="n"/>
      <c r="C225" s="17" t="n"/>
      <c r="H225" s="20">
        <f>IF(OR(B225="",C225=""),0,IF(B225="Entrada",C225,-C225))</f>
        <v/>
      </c>
      <c r="I225" s="21">
        <f>IF(A225="","",YEAR(A225)*100+MONTH(A225))</f>
        <v/>
      </c>
      <c r="J225" s="21">
        <f>IF(E225="Essencial",1,IF(E225="Dívidas",2,IF(E225="Importante",3,IF(E225="Quero",4,""))))</f>
        <v/>
      </c>
    </row>
    <row r="226">
      <c r="A226" s="19" t="n"/>
      <c r="C226" s="17" t="n"/>
      <c r="H226" s="20">
        <f>IF(OR(B226="",C226=""),0,IF(B226="Entrada",C226,-C226))</f>
        <v/>
      </c>
      <c r="I226" s="21">
        <f>IF(A226="","",YEAR(A226)*100+MONTH(A226))</f>
        <v/>
      </c>
      <c r="J226" s="21">
        <f>IF(E226="Essencial",1,IF(E226="Dívidas",2,IF(E226="Importante",3,IF(E226="Quero",4,""))))</f>
        <v/>
      </c>
    </row>
    <row r="227">
      <c r="A227" s="19" t="n"/>
      <c r="C227" s="17" t="n"/>
      <c r="H227" s="20">
        <f>IF(OR(B227="",C227=""),0,IF(B227="Entrada",C227,-C227))</f>
        <v/>
      </c>
      <c r="I227" s="21">
        <f>IF(A227="","",YEAR(A227)*100+MONTH(A227))</f>
        <v/>
      </c>
      <c r="J227" s="21">
        <f>IF(E227="Essencial",1,IF(E227="Dívidas",2,IF(E227="Importante",3,IF(E227="Quero",4,""))))</f>
        <v/>
      </c>
    </row>
    <row r="228">
      <c r="A228" s="19" t="n"/>
      <c r="C228" s="17" t="n"/>
      <c r="H228" s="20">
        <f>IF(OR(B228="",C228=""),0,IF(B228="Entrada",C228,-C228))</f>
        <v/>
      </c>
      <c r="I228" s="21">
        <f>IF(A228="","",YEAR(A228)*100+MONTH(A228))</f>
        <v/>
      </c>
      <c r="J228" s="21">
        <f>IF(E228="Essencial",1,IF(E228="Dívidas",2,IF(E228="Importante",3,IF(E228="Quero",4,""))))</f>
        <v/>
      </c>
    </row>
    <row r="229">
      <c r="A229" s="19" t="n"/>
      <c r="C229" s="17" t="n"/>
      <c r="H229" s="20">
        <f>IF(OR(B229="",C229=""),0,IF(B229="Entrada",C229,-C229))</f>
        <v/>
      </c>
      <c r="I229" s="21">
        <f>IF(A229="","",YEAR(A229)*100+MONTH(A229))</f>
        <v/>
      </c>
      <c r="J229" s="21">
        <f>IF(E229="Essencial",1,IF(E229="Dívidas",2,IF(E229="Importante",3,IF(E229="Quero",4,""))))</f>
        <v/>
      </c>
    </row>
    <row r="230">
      <c r="A230" s="19" t="n"/>
      <c r="C230" s="17" t="n"/>
      <c r="H230" s="20">
        <f>IF(OR(B230="",C230=""),0,IF(B230="Entrada",C230,-C230))</f>
        <v/>
      </c>
      <c r="I230" s="21">
        <f>IF(A230="","",YEAR(A230)*100+MONTH(A230))</f>
        <v/>
      </c>
      <c r="J230" s="21">
        <f>IF(E230="Essencial",1,IF(E230="Dívidas",2,IF(E230="Importante",3,IF(E230="Quero",4,""))))</f>
        <v/>
      </c>
    </row>
    <row r="231">
      <c r="A231" s="19" t="n"/>
      <c r="C231" s="17" t="n"/>
      <c r="H231" s="20">
        <f>IF(OR(B231="",C231=""),0,IF(B231="Entrada",C231,-C231))</f>
        <v/>
      </c>
      <c r="I231" s="21">
        <f>IF(A231="","",YEAR(A231)*100+MONTH(A231))</f>
        <v/>
      </c>
      <c r="J231" s="21">
        <f>IF(E231="Essencial",1,IF(E231="Dívidas",2,IF(E231="Importante",3,IF(E231="Quero",4,""))))</f>
        <v/>
      </c>
    </row>
    <row r="232">
      <c r="A232" s="19" t="n"/>
      <c r="C232" s="17" t="n"/>
      <c r="H232" s="20">
        <f>IF(OR(B232="",C232=""),0,IF(B232="Entrada",C232,-C232))</f>
        <v/>
      </c>
      <c r="I232" s="21">
        <f>IF(A232="","",YEAR(A232)*100+MONTH(A232))</f>
        <v/>
      </c>
      <c r="J232" s="21">
        <f>IF(E232="Essencial",1,IF(E232="Dívidas",2,IF(E232="Importante",3,IF(E232="Quero",4,""))))</f>
        <v/>
      </c>
    </row>
    <row r="233">
      <c r="A233" s="19" t="n"/>
      <c r="C233" s="17" t="n"/>
      <c r="H233" s="20">
        <f>IF(OR(B233="",C233=""),0,IF(B233="Entrada",C233,-C233))</f>
        <v/>
      </c>
      <c r="I233" s="21">
        <f>IF(A233="","",YEAR(A233)*100+MONTH(A233))</f>
        <v/>
      </c>
      <c r="J233" s="21">
        <f>IF(E233="Essencial",1,IF(E233="Dívidas",2,IF(E233="Importante",3,IF(E233="Quero",4,""))))</f>
        <v/>
      </c>
    </row>
    <row r="234">
      <c r="A234" s="19" t="n"/>
      <c r="C234" s="17" t="n"/>
      <c r="H234" s="20">
        <f>IF(OR(B234="",C234=""),0,IF(B234="Entrada",C234,-C234))</f>
        <v/>
      </c>
      <c r="I234" s="21">
        <f>IF(A234="","",YEAR(A234)*100+MONTH(A234))</f>
        <v/>
      </c>
      <c r="J234" s="21">
        <f>IF(E234="Essencial",1,IF(E234="Dívidas",2,IF(E234="Importante",3,IF(E234="Quero",4,""))))</f>
        <v/>
      </c>
    </row>
    <row r="235">
      <c r="A235" s="19" t="n"/>
      <c r="C235" s="17" t="n"/>
      <c r="H235" s="20">
        <f>IF(OR(B235="",C235=""),0,IF(B235="Entrada",C235,-C235))</f>
        <v/>
      </c>
      <c r="I235" s="21">
        <f>IF(A235="","",YEAR(A235)*100+MONTH(A235))</f>
        <v/>
      </c>
      <c r="J235" s="21">
        <f>IF(E235="Essencial",1,IF(E235="Dívidas",2,IF(E235="Importante",3,IF(E235="Quero",4,""))))</f>
        <v/>
      </c>
    </row>
    <row r="236">
      <c r="A236" s="19" t="n"/>
      <c r="C236" s="17" t="n"/>
      <c r="H236" s="20">
        <f>IF(OR(B236="",C236=""),0,IF(B236="Entrada",C236,-C236))</f>
        <v/>
      </c>
      <c r="I236" s="21">
        <f>IF(A236="","",YEAR(A236)*100+MONTH(A236))</f>
        <v/>
      </c>
      <c r="J236" s="21">
        <f>IF(E236="Essencial",1,IF(E236="Dívidas",2,IF(E236="Importante",3,IF(E236="Quero",4,""))))</f>
        <v/>
      </c>
    </row>
    <row r="237">
      <c r="A237" s="19" t="n"/>
      <c r="C237" s="17" t="n"/>
      <c r="H237" s="20">
        <f>IF(OR(B237="",C237=""),0,IF(B237="Entrada",C237,-C237))</f>
        <v/>
      </c>
      <c r="I237" s="21">
        <f>IF(A237="","",YEAR(A237)*100+MONTH(A237))</f>
        <v/>
      </c>
      <c r="J237" s="21">
        <f>IF(E237="Essencial",1,IF(E237="Dívidas",2,IF(E237="Importante",3,IF(E237="Quero",4,""))))</f>
        <v/>
      </c>
    </row>
    <row r="238">
      <c r="A238" s="19" t="n"/>
      <c r="C238" s="17" t="n"/>
      <c r="H238" s="20">
        <f>IF(OR(B238="",C238=""),0,IF(B238="Entrada",C238,-C238))</f>
        <v/>
      </c>
      <c r="I238" s="21">
        <f>IF(A238="","",YEAR(A238)*100+MONTH(A238))</f>
        <v/>
      </c>
      <c r="J238" s="21">
        <f>IF(E238="Essencial",1,IF(E238="Dívidas",2,IF(E238="Importante",3,IF(E238="Quero",4,""))))</f>
        <v/>
      </c>
    </row>
    <row r="239">
      <c r="A239" s="19" t="n"/>
      <c r="C239" s="17" t="n"/>
      <c r="H239" s="20">
        <f>IF(OR(B239="",C239=""),0,IF(B239="Entrada",C239,-C239))</f>
        <v/>
      </c>
      <c r="I239" s="21">
        <f>IF(A239="","",YEAR(A239)*100+MONTH(A239))</f>
        <v/>
      </c>
      <c r="J239" s="21">
        <f>IF(E239="Essencial",1,IF(E239="Dívidas",2,IF(E239="Importante",3,IF(E239="Quero",4,""))))</f>
        <v/>
      </c>
    </row>
    <row r="240">
      <c r="A240" s="19" t="n"/>
      <c r="C240" s="17" t="n"/>
      <c r="H240" s="20">
        <f>IF(OR(B240="",C240=""),0,IF(B240="Entrada",C240,-C240))</f>
        <v/>
      </c>
      <c r="I240" s="21">
        <f>IF(A240="","",YEAR(A240)*100+MONTH(A240))</f>
        <v/>
      </c>
      <c r="J240" s="21">
        <f>IF(E240="Essencial",1,IF(E240="Dívidas",2,IF(E240="Importante",3,IF(E240="Quero",4,""))))</f>
        <v/>
      </c>
    </row>
    <row r="241">
      <c r="A241" s="19" t="n"/>
      <c r="C241" s="17" t="n"/>
      <c r="H241" s="20">
        <f>IF(OR(B241="",C241=""),0,IF(B241="Entrada",C241,-C241))</f>
        <v/>
      </c>
      <c r="I241" s="21">
        <f>IF(A241="","",YEAR(A241)*100+MONTH(A241))</f>
        <v/>
      </c>
      <c r="J241" s="21">
        <f>IF(E241="Essencial",1,IF(E241="Dívidas",2,IF(E241="Importante",3,IF(E241="Quero",4,""))))</f>
        <v/>
      </c>
    </row>
    <row r="242">
      <c r="A242" s="19" t="n"/>
      <c r="C242" s="17" t="n"/>
      <c r="H242" s="20">
        <f>IF(OR(B242="",C242=""),0,IF(B242="Entrada",C242,-C242))</f>
        <v/>
      </c>
      <c r="I242" s="21">
        <f>IF(A242="","",YEAR(A242)*100+MONTH(A242))</f>
        <v/>
      </c>
      <c r="J242" s="21">
        <f>IF(E242="Essencial",1,IF(E242="Dívidas",2,IF(E242="Importante",3,IF(E242="Quero",4,""))))</f>
        <v/>
      </c>
    </row>
    <row r="243">
      <c r="A243" s="19" t="n"/>
      <c r="C243" s="17" t="n"/>
      <c r="H243" s="20">
        <f>IF(OR(B243="",C243=""),0,IF(B243="Entrada",C243,-C243))</f>
        <v/>
      </c>
      <c r="I243" s="21">
        <f>IF(A243="","",YEAR(A243)*100+MONTH(A243))</f>
        <v/>
      </c>
      <c r="J243" s="21">
        <f>IF(E243="Essencial",1,IF(E243="Dívidas",2,IF(E243="Importante",3,IF(E243="Quero",4,""))))</f>
        <v/>
      </c>
    </row>
    <row r="244">
      <c r="A244" s="19" t="n"/>
      <c r="C244" s="17" t="n"/>
      <c r="H244" s="20">
        <f>IF(OR(B244="",C244=""),0,IF(B244="Entrada",C244,-C244))</f>
        <v/>
      </c>
      <c r="I244" s="21">
        <f>IF(A244="","",YEAR(A244)*100+MONTH(A244))</f>
        <v/>
      </c>
      <c r="J244" s="21">
        <f>IF(E244="Essencial",1,IF(E244="Dívidas",2,IF(E244="Importante",3,IF(E244="Quero",4,""))))</f>
        <v/>
      </c>
    </row>
    <row r="245">
      <c r="A245" s="19" t="n"/>
      <c r="C245" s="17" t="n"/>
      <c r="H245" s="20">
        <f>IF(OR(B245="",C245=""),0,IF(B245="Entrada",C245,-C245))</f>
        <v/>
      </c>
      <c r="I245" s="21">
        <f>IF(A245="","",YEAR(A245)*100+MONTH(A245))</f>
        <v/>
      </c>
      <c r="J245" s="21">
        <f>IF(E245="Essencial",1,IF(E245="Dívidas",2,IF(E245="Importante",3,IF(E245="Quero",4,""))))</f>
        <v/>
      </c>
    </row>
    <row r="246">
      <c r="A246" s="19" t="n"/>
      <c r="C246" s="17" t="n"/>
      <c r="H246" s="20">
        <f>IF(OR(B246="",C246=""),0,IF(B246="Entrada",C246,-C246))</f>
        <v/>
      </c>
      <c r="I246" s="21">
        <f>IF(A246="","",YEAR(A246)*100+MONTH(A246))</f>
        <v/>
      </c>
      <c r="J246" s="21">
        <f>IF(E246="Essencial",1,IF(E246="Dívidas",2,IF(E246="Importante",3,IF(E246="Quero",4,""))))</f>
        <v/>
      </c>
    </row>
    <row r="247">
      <c r="A247" s="19" t="n"/>
      <c r="C247" s="17" t="n"/>
      <c r="H247" s="20">
        <f>IF(OR(B247="",C247=""),0,IF(B247="Entrada",C247,-C247))</f>
        <v/>
      </c>
      <c r="I247" s="21">
        <f>IF(A247="","",YEAR(A247)*100+MONTH(A247))</f>
        <v/>
      </c>
      <c r="J247" s="21">
        <f>IF(E247="Essencial",1,IF(E247="Dívidas",2,IF(E247="Importante",3,IF(E247="Quero",4,""))))</f>
        <v/>
      </c>
    </row>
    <row r="248">
      <c r="A248" s="19" t="n"/>
      <c r="C248" s="17" t="n"/>
      <c r="H248" s="20">
        <f>IF(OR(B248="",C248=""),0,IF(B248="Entrada",C248,-C248))</f>
        <v/>
      </c>
      <c r="I248" s="21">
        <f>IF(A248="","",YEAR(A248)*100+MONTH(A248))</f>
        <v/>
      </c>
      <c r="J248" s="21">
        <f>IF(E248="Essencial",1,IF(E248="Dívidas",2,IF(E248="Importante",3,IF(E248="Quero",4,""))))</f>
        <v/>
      </c>
    </row>
    <row r="249">
      <c r="A249" s="19" t="n"/>
      <c r="C249" s="17" t="n"/>
      <c r="H249" s="20">
        <f>IF(OR(B249="",C249=""),0,IF(B249="Entrada",C249,-C249))</f>
        <v/>
      </c>
      <c r="I249" s="21">
        <f>IF(A249="","",YEAR(A249)*100+MONTH(A249))</f>
        <v/>
      </c>
      <c r="J249" s="21">
        <f>IF(E249="Essencial",1,IF(E249="Dívidas",2,IF(E249="Importante",3,IF(E249="Quero",4,""))))</f>
        <v/>
      </c>
    </row>
    <row r="250">
      <c r="A250" s="19" t="n"/>
      <c r="C250" s="17" t="n"/>
      <c r="H250" s="20">
        <f>IF(OR(B250="",C250=""),0,IF(B250="Entrada",C250,-C250))</f>
        <v/>
      </c>
      <c r="I250" s="21">
        <f>IF(A250="","",YEAR(A250)*100+MONTH(A250))</f>
        <v/>
      </c>
      <c r="J250" s="21">
        <f>IF(E250="Essencial",1,IF(E250="Dívidas",2,IF(E250="Importante",3,IF(E250="Quero",4,""))))</f>
        <v/>
      </c>
    </row>
    <row r="251">
      <c r="A251" s="19" t="n"/>
      <c r="C251" s="17" t="n"/>
      <c r="H251" s="20">
        <f>IF(OR(B251="",C251=""),0,IF(B251="Entrada",C251,-C251))</f>
        <v/>
      </c>
      <c r="I251" s="21">
        <f>IF(A251="","",YEAR(A251)*100+MONTH(A251))</f>
        <v/>
      </c>
      <c r="J251" s="21">
        <f>IF(E251="Essencial",1,IF(E251="Dívidas",2,IF(E251="Importante",3,IF(E251="Quero",4,""))))</f>
        <v/>
      </c>
    </row>
    <row r="252">
      <c r="A252" s="19" t="n"/>
      <c r="C252" s="17" t="n"/>
      <c r="H252" s="20">
        <f>IF(OR(B252="",C252=""),0,IF(B252="Entrada",C252,-C252))</f>
        <v/>
      </c>
      <c r="I252" s="21">
        <f>IF(A252="","",YEAR(A252)*100+MONTH(A252))</f>
        <v/>
      </c>
      <c r="J252" s="21">
        <f>IF(E252="Essencial",1,IF(E252="Dívidas",2,IF(E252="Importante",3,IF(E252="Quero",4,""))))</f>
        <v/>
      </c>
    </row>
    <row r="253">
      <c r="A253" s="19" t="n"/>
      <c r="C253" s="17" t="n"/>
      <c r="H253" s="20">
        <f>IF(OR(B253="",C253=""),0,IF(B253="Entrada",C253,-C253))</f>
        <v/>
      </c>
      <c r="I253" s="21">
        <f>IF(A253="","",YEAR(A253)*100+MONTH(A253))</f>
        <v/>
      </c>
      <c r="J253" s="21">
        <f>IF(E253="Essencial",1,IF(E253="Dívidas",2,IF(E253="Importante",3,IF(E253="Quero",4,""))))</f>
        <v/>
      </c>
    </row>
    <row r="254">
      <c r="A254" s="19" t="n"/>
      <c r="C254" s="17" t="n"/>
      <c r="H254" s="20">
        <f>IF(OR(B254="",C254=""),0,IF(B254="Entrada",C254,-C254))</f>
        <v/>
      </c>
      <c r="I254" s="21">
        <f>IF(A254="","",YEAR(A254)*100+MONTH(A254))</f>
        <v/>
      </c>
      <c r="J254" s="21">
        <f>IF(E254="Essencial",1,IF(E254="Dívidas",2,IF(E254="Importante",3,IF(E254="Quero",4,""))))</f>
        <v/>
      </c>
    </row>
    <row r="255">
      <c r="A255" s="19" t="n"/>
      <c r="C255" s="17" t="n"/>
      <c r="H255" s="20">
        <f>IF(OR(B255="",C255=""),0,IF(B255="Entrada",C255,-C255))</f>
        <v/>
      </c>
      <c r="I255" s="21">
        <f>IF(A255="","",YEAR(A255)*100+MONTH(A255))</f>
        <v/>
      </c>
      <c r="J255" s="21">
        <f>IF(E255="Essencial",1,IF(E255="Dívidas",2,IF(E255="Importante",3,IF(E255="Quero",4,""))))</f>
        <v/>
      </c>
    </row>
    <row r="256">
      <c r="A256" s="19" t="n"/>
      <c r="C256" s="17" t="n"/>
      <c r="H256" s="20">
        <f>IF(OR(B256="",C256=""),0,IF(B256="Entrada",C256,-C256))</f>
        <v/>
      </c>
      <c r="I256" s="21">
        <f>IF(A256="","",YEAR(A256)*100+MONTH(A256))</f>
        <v/>
      </c>
      <c r="J256" s="21">
        <f>IF(E256="Essencial",1,IF(E256="Dívidas",2,IF(E256="Importante",3,IF(E256="Quero",4,""))))</f>
        <v/>
      </c>
    </row>
    <row r="257">
      <c r="A257" s="19" t="n"/>
      <c r="C257" s="17" t="n"/>
      <c r="H257" s="20">
        <f>IF(OR(B257="",C257=""),0,IF(B257="Entrada",C257,-C257))</f>
        <v/>
      </c>
      <c r="I257" s="21">
        <f>IF(A257="","",YEAR(A257)*100+MONTH(A257))</f>
        <v/>
      </c>
      <c r="J257" s="21">
        <f>IF(E257="Essencial",1,IF(E257="Dívidas",2,IF(E257="Importante",3,IF(E257="Quero",4,""))))</f>
        <v/>
      </c>
    </row>
    <row r="258">
      <c r="A258" s="19" t="n"/>
      <c r="C258" s="17" t="n"/>
      <c r="H258" s="20">
        <f>IF(OR(B258="",C258=""),0,IF(B258="Entrada",C258,-C258))</f>
        <v/>
      </c>
      <c r="I258" s="21">
        <f>IF(A258="","",YEAR(A258)*100+MONTH(A258))</f>
        <v/>
      </c>
      <c r="J258" s="21">
        <f>IF(E258="Essencial",1,IF(E258="Dívidas",2,IF(E258="Importante",3,IF(E258="Quero",4,""))))</f>
        <v/>
      </c>
    </row>
    <row r="259">
      <c r="A259" s="19" t="n"/>
      <c r="C259" s="17" t="n"/>
      <c r="H259" s="20">
        <f>IF(OR(B259="",C259=""),0,IF(B259="Entrada",C259,-C259))</f>
        <v/>
      </c>
      <c r="I259" s="21">
        <f>IF(A259="","",YEAR(A259)*100+MONTH(A259))</f>
        <v/>
      </c>
      <c r="J259" s="21">
        <f>IF(E259="Essencial",1,IF(E259="Dívidas",2,IF(E259="Importante",3,IF(E259="Quero",4,""))))</f>
        <v/>
      </c>
    </row>
    <row r="260">
      <c r="A260" s="19" t="n"/>
      <c r="C260" s="17" t="n"/>
      <c r="H260" s="20">
        <f>IF(OR(B260="",C260=""),0,IF(B260="Entrada",C260,-C260))</f>
        <v/>
      </c>
      <c r="I260" s="21">
        <f>IF(A260="","",YEAR(A260)*100+MONTH(A260))</f>
        <v/>
      </c>
      <c r="J260" s="21">
        <f>IF(E260="Essencial",1,IF(E260="Dívidas",2,IF(E260="Importante",3,IF(E260="Quero",4,""))))</f>
        <v/>
      </c>
    </row>
    <row r="261">
      <c r="A261" s="19" t="n"/>
      <c r="C261" s="17" t="n"/>
      <c r="H261" s="20">
        <f>IF(OR(B261="",C261=""),0,IF(B261="Entrada",C261,-C261))</f>
        <v/>
      </c>
      <c r="I261" s="21">
        <f>IF(A261="","",YEAR(A261)*100+MONTH(A261))</f>
        <v/>
      </c>
      <c r="J261" s="21">
        <f>IF(E261="Essencial",1,IF(E261="Dívidas",2,IF(E261="Importante",3,IF(E261="Quero",4,""))))</f>
        <v/>
      </c>
    </row>
    <row r="262">
      <c r="A262" s="19" t="n"/>
      <c r="C262" s="17" t="n"/>
      <c r="H262" s="20">
        <f>IF(OR(B262="",C262=""),0,IF(B262="Entrada",C262,-C262))</f>
        <v/>
      </c>
      <c r="I262" s="21">
        <f>IF(A262="","",YEAR(A262)*100+MONTH(A262))</f>
        <v/>
      </c>
      <c r="J262" s="21">
        <f>IF(E262="Essencial",1,IF(E262="Dívidas",2,IF(E262="Importante",3,IF(E262="Quero",4,""))))</f>
        <v/>
      </c>
    </row>
    <row r="263">
      <c r="A263" s="19" t="n"/>
      <c r="C263" s="17" t="n"/>
      <c r="H263" s="20">
        <f>IF(OR(B263="",C263=""),0,IF(B263="Entrada",C263,-C263))</f>
        <v/>
      </c>
      <c r="I263" s="21">
        <f>IF(A263="","",YEAR(A263)*100+MONTH(A263))</f>
        <v/>
      </c>
      <c r="J263" s="21">
        <f>IF(E263="Essencial",1,IF(E263="Dívidas",2,IF(E263="Importante",3,IF(E263="Quero",4,""))))</f>
        <v/>
      </c>
    </row>
    <row r="264">
      <c r="A264" s="19" t="n"/>
      <c r="C264" s="17" t="n"/>
      <c r="H264" s="20">
        <f>IF(OR(B264="",C264=""),0,IF(B264="Entrada",C264,-C264))</f>
        <v/>
      </c>
      <c r="I264" s="21">
        <f>IF(A264="","",YEAR(A264)*100+MONTH(A264))</f>
        <v/>
      </c>
      <c r="J264" s="21">
        <f>IF(E264="Essencial",1,IF(E264="Dívidas",2,IF(E264="Importante",3,IF(E264="Quero",4,""))))</f>
        <v/>
      </c>
    </row>
    <row r="265">
      <c r="A265" s="19" t="n"/>
      <c r="C265" s="17" t="n"/>
      <c r="H265" s="20">
        <f>IF(OR(B265="",C265=""),0,IF(B265="Entrada",C265,-C265))</f>
        <v/>
      </c>
      <c r="I265" s="21">
        <f>IF(A265="","",YEAR(A265)*100+MONTH(A265))</f>
        <v/>
      </c>
      <c r="J265" s="21">
        <f>IF(E265="Essencial",1,IF(E265="Dívidas",2,IF(E265="Importante",3,IF(E265="Quero",4,""))))</f>
        <v/>
      </c>
    </row>
    <row r="266">
      <c r="A266" s="19" t="n"/>
      <c r="C266" s="17" t="n"/>
      <c r="H266" s="20">
        <f>IF(OR(B266="",C266=""),0,IF(B266="Entrada",C266,-C266))</f>
        <v/>
      </c>
      <c r="I266" s="21">
        <f>IF(A266="","",YEAR(A266)*100+MONTH(A266))</f>
        <v/>
      </c>
      <c r="J266" s="21">
        <f>IF(E266="Essencial",1,IF(E266="Dívidas",2,IF(E266="Importante",3,IF(E266="Quero",4,""))))</f>
        <v/>
      </c>
    </row>
    <row r="267">
      <c r="A267" s="19" t="n"/>
      <c r="C267" s="17" t="n"/>
      <c r="H267" s="20">
        <f>IF(OR(B267="",C267=""),0,IF(B267="Entrada",C267,-C267))</f>
        <v/>
      </c>
      <c r="I267" s="21">
        <f>IF(A267="","",YEAR(A267)*100+MONTH(A267))</f>
        <v/>
      </c>
      <c r="J267" s="21">
        <f>IF(E267="Essencial",1,IF(E267="Dívidas",2,IF(E267="Importante",3,IF(E267="Quero",4,""))))</f>
        <v/>
      </c>
    </row>
    <row r="268">
      <c r="A268" s="19" t="n"/>
      <c r="C268" s="17" t="n"/>
      <c r="H268" s="20">
        <f>IF(OR(B268="",C268=""),0,IF(B268="Entrada",C268,-C268))</f>
        <v/>
      </c>
      <c r="I268" s="21">
        <f>IF(A268="","",YEAR(A268)*100+MONTH(A268))</f>
        <v/>
      </c>
      <c r="J268" s="21">
        <f>IF(E268="Essencial",1,IF(E268="Dívidas",2,IF(E268="Importante",3,IF(E268="Quero",4,""))))</f>
        <v/>
      </c>
    </row>
    <row r="269">
      <c r="A269" s="19" t="n"/>
      <c r="C269" s="17" t="n"/>
      <c r="H269" s="20">
        <f>IF(OR(B269="",C269=""),0,IF(B269="Entrada",C269,-C269))</f>
        <v/>
      </c>
      <c r="I269" s="21">
        <f>IF(A269="","",YEAR(A269)*100+MONTH(A269))</f>
        <v/>
      </c>
      <c r="J269" s="21">
        <f>IF(E269="Essencial",1,IF(E269="Dívidas",2,IF(E269="Importante",3,IF(E269="Quero",4,""))))</f>
        <v/>
      </c>
    </row>
    <row r="270">
      <c r="A270" s="19" t="n"/>
      <c r="C270" s="17" t="n"/>
      <c r="H270" s="20">
        <f>IF(OR(B270="",C270=""),0,IF(B270="Entrada",C270,-C270))</f>
        <v/>
      </c>
      <c r="I270" s="21">
        <f>IF(A270="","",YEAR(A270)*100+MONTH(A270))</f>
        <v/>
      </c>
      <c r="J270" s="21">
        <f>IF(E270="Essencial",1,IF(E270="Dívidas",2,IF(E270="Importante",3,IF(E270="Quero",4,""))))</f>
        <v/>
      </c>
    </row>
    <row r="271">
      <c r="A271" s="19" t="n"/>
      <c r="C271" s="17" t="n"/>
      <c r="H271" s="20">
        <f>IF(OR(B271="",C271=""),0,IF(B271="Entrada",C271,-C271))</f>
        <v/>
      </c>
      <c r="I271" s="21">
        <f>IF(A271="","",YEAR(A271)*100+MONTH(A271))</f>
        <v/>
      </c>
      <c r="J271" s="21">
        <f>IF(E271="Essencial",1,IF(E271="Dívidas",2,IF(E271="Importante",3,IF(E271="Quero",4,""))))</f>
        <v/>
      </c>
    </row>
    <row r="272">
      <c r="A272" s="19" t="n"/>
      <c r="C272" s="17" t="n"/>
      <c r="H272" s="20">
        <f>IF(OR(B272="",C272=""),0,IF(B272="Entrada",C272,-C272))</f>
        <v/>
      </c>
      <c r="I272" s="21">
        <f>IF(A272="","",YEAR(A272)*100+MONTH(A272))</f>
        <v/>
      </c>
      <c r="J272" s="21">
        <f>IF(E272="Essencial",1,IF(E272="Dívidas",2,IF(E272="Importante",3,IF(E272="Quero",4,""))))</f>
        <v/>
      </c>
    </row>
    <row r="273">
      <c r="A273" s="19" t="n"/>
      <c r="C273" s="17" t="n"/>
      <c r="H273" s="20">
        <f>IF(OR(B273="",C273=""),0,IF(B273="Entrada",C273,-C273))</f>
        <v/>
      </c>
      <c r="I273" s="21">
        <f>IF(A273="","",YEAR(A273)*100+MONTH(A273))</f>
        <v/>
      </c>
      <c r="J273" s="21">
        <f>IF(E273="Essencial",1,IF(E273="Dívidas",2,IF(E273="Importante",3,IF(E273="Quero",4,""))))</f>
        <v/>
      </c>
    </row>
    <row r="274">
      <c r="A274" s="19" t="n"/>
      <c r="C274" s="17" t="n"/>
      <c r="H274" s="20">
        <f>IF(OR(B274="",C274=""),0,IF(B274="Entrada",C274,-C274))</f>
        <v/>
      </c>
      <c r="I274" s="21">
        <f>IF(A274="","",YEAR(A274)*100+MONTH(A274))</f>
        <v/>
      </c>
      <c r="J274" s="21">
        <f>IF(E274="Essencial",1,IF(E274="Dívidas",2,IF(E274="Importante",3,IF(E274="Quero",4,""))))</f>
        <v/>
      </c>
    </row>
    <row r="275">
      <c r="A275" s="19" t="n"/>
      <c r="C275" s="17" t="n"/>
      <c r="H275" s="20">
        <f>IF(OR(B275="",C275=""),0,IF(B275="Entrada",C275,-C275))</f>
        <v/>
      </c>
      <c r="I275" s="21">
        <f>IF(A275="","",YEAR(A275)*100+MONTH(A275))</f>
        <v/>
      </c>
      <c r="J275" s="21">
        <f>IF(E275="Essencial",1,IF(E275="Dívidas",2,IF(E275="Importante",3,IF(E275="Quero",4,""))))</f>
        <v/>
      </c>
    </row>
    <row r="276">
      <c r="A276" s="19" t="n"/>
      <c r="C276" s="17" t="n"/>
      <c r="H276" s="20">
        <f>IF(OR(B276="",C276=""),0,IF(B276="Entrada",C276,-C276))</f>
        <v/>
      </c>
      <c r="I276" s="21">
        <f>IF(A276="","",YEAR(A276)*100+MONTH(A276))</f>
        <v/>
      </c>
      <c r="J276" s="21">
        <f>IF(E276="Essencial",1,IF(E276="Dívidas",2,IF(E276="Importante",3,IF(E276="Quero",4,""))))</f>
        <v/>
      </c>
    </row>
    <row r="277">
      <c r="A277" s="19" t="n"/>
      <c r="C277" s="17" t="n"/>
      <c r="H277" s="20">
        <f>IF(OR(B277="",C277=""),0,IF(B277="Entrada",C277,-C277))</f>
        <v/>
      </c>
      <c r="I277" s="21">
        <f>IF(A277="","",YEAR(A277)*100+MONTH(A277))</f>
        <v/>
      </c>
      <c r="J277" s="21">
        <f>IF(E277="Essencial",1,IF(E277="Dívidas",2,IF(E277="Importante",3,IF(E277="Quero",4,""))))</f>
        <v/>
      </c>
    </row>
    <row r="278">
      <c r="A278" s="19" t="n"/>
      <c r="C278" s="17" t="n"/>
      <c r="H278" s="20">
        <f>IF(OR(B278="",C278=""),0,IF(B278="Entrada",C278,-C278))</f>
        <v/>
      </c>
      <c r="I278" s="21">
        <f>IF(A278="","",YEAR(A278)*100+MONTH(A278))</f>
        <v/>
      </c>
      <c r="J278" s="21">
        <f>IF(E278="Essencial",1,IF(E278="Dívidas",2,IF(E278="Importante",3,IF(E278="Quero",4,""))))</f>
        <v/>
      </c>
    </row>
    <row r="279">
      <c r="A279" s="19" t="n"/>
      <c r="C279" s="17" t="n"/>
      <c r="H279" s="20">
        <f>IF(OR(B279="",C279=""),0,IF(B279="Entrada",C279,-C279))</f>
        <v/>
      </c>
      <c r="I279" s="21">
        <f>IF(A279="","",YEAR(A279)*100+MONTH(A279))</f>
        <v/>
      </c>
      <c r="J279" s="21">
        <f>IF(E279="Essencial",1,IF(E279="Dívidas",2,IF(E279="Importante",3,IF(E279="Quero",4,""))))</f>
        <v/>
      </c>
    </row>
    <row r="280">
      <c r="A280" s="19" t="n"/>
      <c r="C280" s="17" t="n"/>
      <c r="H280" s="20">
        <f>IF(OR(B280="",C280=""),0,IF(B280="Entrada",C280,-C280))</f>
        <v/>
      </c>
      <c r="I280" s="21">
        <f>IF(A280="","",YEAR(A280)*100+MONTH(A280))</f>
        <v/>
      </c>
      <c r="J280" s="21">
        <f>IF(E280="Essencial",1,IF(E280="Dívidas",2,IF(E280="Importante",3,IF(E280="Quero",4,""))))</f>
        <v/>
      </c>
    </row>
    <row r="281">
      <c r="A281" s="19" t="n"/>
      <c r="C281" s="17" t="n"/>
      <c r="H281" s="20">
        <f>IF(OR(B281="",C281=""),0,IF(B281="Entrada",C281,-C281))</f>
        <v/>
      </c>
      <c r="I281" s="21">
        <f>IF(A281="","",YEAR(A281)*100+MONTH(A281))</f>
        <v/>
      </c>
      <c r="J281" s="21">
        <f>IF(E281="Essencial",1,IF(E281="Dívidas",2,IF(E281="Importante",3,IF(E281="Quero",4,""))))</f>
        <v/>
      </c>
    </row>
    <row r="282">
      <c r="A282" s="19" t="n"/>
      <c r="C282" s="17" t="n"/>
      <c r="H282" s="20">
        <f>IF(OR(B282="",C282=""),0,IF(B282="Entrada",C282,-C282))</f>
        <v/>
      </c>
      <c r="I282" s="21">
        <f>IF(A282="","",YEAR(A282)*100+MONTH(A282))</f>
        <v/>
      </c>
      <c r="J282" s="21">
        <f>IF(E282="Essencial",1,IF(E282="Dívidas",2,IF(E282="Importante",3,IF(E282="Quero",4,""))))</f>
        <v/>
      </c>
    </row>
    <row r="283">
      <c r="A283" s="19" t="n"/>
      <c r="C283" s="17" t="n"/>
      <c r="H283" s="20">
        <f>IF(OR(B283="",C283=""),0,IF(B283="Entrada",C283,-C283))</f>
        <v/>
      </c>
      <c r="I283" s="21">
        <f>IF(A283="","",YEAR(A283)*100+MONTH(A283))</f>
        <v/>
      </c>
      <c r="J283" s="21">
        <f>IF(E283="Essencial",1,IF(E283="Dívidas",2,IF(E283="Importante",3,IF(E283="Quero",4,""))))</f>
        <v/>
      </c>
    </row>
    <row r="284">
      <c r="A284" s="19" t="n"/>
      <c r="C284" s="17" t="n"/>
      <c r="H284" s="20">
        <f>IF(OR(B284="",C284=""),0,IF(B284="Entrada",C284,-C284))</f>
        <v/>
      </c>
      <c r="I284" s="21">
        <f>IF(A284="","",YEAR(A284)*100+MONTH(A284))</f>
        <v/>
      </c>
      <c r="J284" s="21">
        <f>IF(E284="Essencial",1,IF(E284="Dívidas",2,IF(E284="Importante",3,IF(E284="Quero",4,""))))</f>
        <v/>
      </c>
    </row>
    <row r="285">
      <c r="A285" s="19" t="n"/>
      <c r="C285" s="17" t="n"/>
      <c r="H285" s="20">
        <f>IF(OR(B285="",C285=""),0,IF(B285="Entrada",C285,-C285))</f>
        <v/>
      </c>
      <c r="I285" s="21">
        <f>IF(A285="","",YEAR(A285)*100+MONTH(A285))</f>
        <v/>
      </c>
      <c r="J285" s="21">
        <f>IF(E285="Essencial",1,IF(E285="Dívidas",2,IF(E285="Importante",3,IF(E285="Quero",4,""))))</f>
        <v/>
      </c>
    </row>
    <row r="286">
      <c r="A286" s="19" t="n"/>
      <c r="C286" s="17" t="n"/>
      <c r="H286" s="20">
        <f>IF(OR(B286="",C286=""),0,IF(B286="Entrada",C286,-C286))</f>
        <v/>
      </c>
      <c r="I286" s="21">
        <f>IF(A286="","",YEAR(A286)*100+MONTH(A286))</f>
        <v/>
      </c>
      <c r="J286" s="21">
        <f>IF(E286="Essencial",1,IF(E286="Dívidas",2,IF(E286="Importante",3,IF(E286="Quero",4,""))))</f>
        <v/>
      </c>
    </row>
    <row r="287">
      <c r="A287" s="19" t="n"/>
      <c r="C287" s="17" t="n"/>
      <c r="H287" s="20">
        <f>IF(OR(B287="",C287=""),0,IF(B287="Entrada",C287,-C287))</f>
        <v/>
      </c>
      <c r="I287" s="21">
        <f>IF(A287="","",YEAR(A287)*100+MONTH(A287))</f>
        <v/>
      </c>
      <c r="J287" s="21">
        <f>IF(E287="Essencial",1,IF(E287="Dívidas",2,IF(E287="Importante",3,IF(E287="Quero",4,""))))</f>
        <v/>
      </c>
    </row>
    <row r="288">
      <c r="A288" s="19" t="n"/>
      <c r="C288" s="17" t="n"/>
      <c r="H288" s="20">
        <f>IF(OR(B288="",C288=""),0,IF(B288="Entrada",C288,-C288))</f>
        <v/>
      </c>
      <c r="I288" s="21">
        <f>IF(A288="","",YEAR(A288)*100+MONTH(A288))</f>
        <v/>
      </c>
      <c r="J288" s="21">
        <f>IF(E288="Essencial",1,IF(E288="Dívidas",2,IF(E288="Importante",3,IF(E288="Quero",4,""))))</f>
        <v/>
      </c>
    </row>
    <row r="289">
      <c r="A289" s="19" t="n"/>
      <c r="C289" s="17" t="n"/>
      <c r="H289" s="20">
        <f>IF(OR(B289="",C289=""),0,IF(B289="Entrada",C289,-C289))</f>
        <v/>
      </c>
      <c r="I289" s="21">
        <f>IF(A289="","",YEAR(A289)*100+MONTH(A289))</f>
        <v/>
      </c>
      <c r="J289" s="21">
        <f>IF(E289="Essencial",1,IF(E289="Dívidas",2,IF(E289="Importante",3,IF(E289="Quero",4,""))))</f>
        <v/>
      </c>
    </row>
    <row r="290">
      <c r="A290" s="19" t="n"/>
      <c r="C290" s="17" t="n"/>
      <c r="H290" s="20">
        <f>IF(OR(B290="",C290=""),0,IF(B290="Entrada",C290,-C290))</f>
        <v/>
      </c>
      <c r="I290" s="21">
        <f>IF(A290="","",YEAR(A290)*100+MONTH(A290))</f>
        <v/>
      </c>
      <c r="J290" s="21">
        <f>IF(E290="Essencial",1,IF(E290="Dívidas",2,IF(E290="Importante",3,IF(E290="Quero",4,""))))</f>
        <v/>
      </c>
    </row>
    <row r="291">
      <c r="A291" s="19" t="n"/>
      <c r="C291" s="17" t="n"/>
      <c r="H291" s="20">
        <f>IF(OR(B291="",C291=""),0,IF(B291="Entrada",C291,-C291))</f>
        <v/>
      </c>
      <c r="I291" s="21">
        <f>IF(A291="","",YEAR(A291)*100+MONTH(A291))</f>
        <v/>
      </c>
      <c r="J291" s="21">
        <f>IF(E291="Essencial",1,IF(E291="Dívidas",2,IF(E291="Importante",3,IF(E291="Quero",4,""))))</f>
        <v/>
      </c>
    </row>
    <row r="292">
      <c r="A292" s="19" t="n"/>
      <c r="C292" s="17" t="n"/>
      <c r="H292" s="20">
        <f>IF(OR(B292="",C292=""),0,IF(B292="Entrada",C292,-C292))</f>
        <v/>
      </c>
      <c r="I292" s="21">
        <f>IF(A292="","",YEAR(A292)*100+MONTH(A292))</f>
        <v/>
      </c>
      <c r="J292" s="21">
        <f>IF(E292="Essencial",1,IF(E292="Dívidas",2,IF(E292="Importante",3,IF(E292="Quero",4,""))))</f>
        <v/>
      </c>
    </row>
    <row r="293">
      <c r="A293" s="19" t="n"/>
      <c r="C293" s="17" t="n"/>
      <c r="H293" s="20">
        <f>IF(OR(B293="",C293=""),0,IF(B293="Entrada",C293,-C293))</f>
        <v/>
      </c>
      <c r="I293" s="21">
        <f>IF(A293="","",YEAR(A293)*100+MONTH(A293))</f>
        <v/>
      </c>
      <c r="J293" s="21">
        <f>IF(E293="Essencial",1,IF(E293="Dívidas",2,IF(E293="Importante",3,IF(E293="Quero",4,""))))</f>
        <v/>
      </c>
    </row>
    <row r="294">
      <c r="A294" s="19" t="n"/>
      <c r="C294" s="17" t="n"/>
      <c r="H294" s="20">
        <f>IF(OR(B294="",C294=""),0,IF(B294="Entrada",C294,-C294))</f>
        <v/>
      </c>
      <c r="I294" s="21">
        <f>IF(A294="","",YEAR(A294)*100+MONTH(A294))</f>
        <v/>
      </c>
      <c r="J294" s="21">
        <f>IF(E294="Essencial",1,IF(E294="Dívidas",2,IF(E294="Importante",3,IF(E294="Quero",4,""))))</f>
        <v/>
      </c>
    </row>
    <row r="295">
      <c r="A295" s="19" t="n"/>
      <c r="C295" s="17" t="n"/>
      <c r="H295" s="20">
        <f>IF(OR(B295="",C295=""),0,IF(B295="Entrada",C295,-C295))</f>
        <v/>
      </c>
      <c r="I295" s="21">
        <f>IF(A295="","",YEAR(A295)*100+MONTH(A295))</f>
        <v/>
      </c>
      <c r="J295" s="21">
        <f>IF(E295="Essencial",1,IF(E295="Dívidas",2,IF(E295="Importante",3,IF(E295="Quero",4,""))))</f>
        <v/>
      </c>
    </row>
    <row r="296">
      <c r="A296" s="19" t="n"/>
      <c r="C296" s="17" t="n"/>
      <c r="H296" s="20">
        <f>IF(OR(B296="",C296=""),0,IF(B296="Entrada",C296,-C296))</f>
        <v/>
      </c>
      <c r="I296" s="21">
        <f>IF(A296="","",YEAR(A296)*100+MONTH(A296))</f>
        <v/>
      </c>
      <c r="J296" s="21">
        <f>IF(E296="Essencial",1,IF(E296="Dívidas",2,IF(E296="Importante",3,IF(E296="Quero",4,""))))</f>
        <v/>
      </c>
    </row>
    <row r="297">
      <c r="A297" s="19" t="n"/>
      <c r="C297" s="17" t="n"/>
      <c r="H297" s="20">
        <f>IF(OR(B297="",C297=""),0,IF(B297="Entrada",C297,-C297))</f>
        <v/>
      </c>
      <c r="I297" s="21">
        <f>IF(A297="","",YEAR(A297)*100+MONTH(A297))</f>
        <v/>
      </c>
      <c r="J297" s="21">
        <f>IF(E297="Essencial",1,IF(E297="Dívidas",2,IF(E297="Importante",3,IF(E297="Quero",4,""))))</f>
        <v/>
      </c>
    </row>
    <row r="298">
      <c r="A298" s="19" t="n"/>
      <c r="C298" s="17" t="n"/>
      <c r="H298" s="20">
        <f>IF(OR(B298="",C298=""),0,IF(B298="Entrada",C298,-C298))</f>
        <v/>
      </c>
      <c r="I298" s="21">
        <f>IF(A298="","",YEAR(A298)*100+MONTH(A298))</f>
        <v/>
      </c>
      <c r="J298" s="21">
        <f>IF(E298="Essencial",1,IF(E298="Dívidas",2,IF(E298="Importante",3,IF(E298="Quero",4,""))))</f>
        <v/>
      </c>
    </row>
    <row r="299">
      <c r="A299" s="19" t="n"/>
      <c r="C299" s="17" t="n"/>
      <c r="H299" s="20">
        <f>IF(OR(B299="",C299=""),0,IF(B299="Entrada",C299,-C299))</f>
        <v/>
      </c>
      <c r="I299" s="21">
        <f>IF(A299="","",YEAR(A299)*100+MONTH(A299))</f>
        <v/>
      </c>
      <c r="J299" s="21">
        <f>IF(E299="Essencial",1,IF(E299="Dívidas",2,IF(E299="Importante",3,IF(E299="Quero",4,""))))</f>
        <v/>
      </c>
    </row>
    <row r="300">
      <c r="A300" s="19" t="n"/>
      <c r="C300" s="17" t="n"/>
      <c r="H300" s="20">
        <f>IF(OR(B300="",C300=""),0,IF(B300="Entrada",C300,-C300))</f>
        <v/>
      </c>
      <c r="I300" s="21">
        <f>IF(A300="","",YEAR(A300)*100+MONTH(A300))</f>
        <v/>
      </c>
      <c r="J300" s="21">
        <f>IF(E300="Essencial",1,IF(E300="Dívidas",2,IF(E300="Importante",3,IF(E300="Quero",4,""))))</f>
        <v/>
      </c>
    </row>
    <row r="301">
      <c r="A301" s="19" t="n"/>
      <c r="C301" s="17" t="n"/>
      <c r="H301" s="20">
        <f>IF(OR(B301="",C301=""),0,IF(B301="Entrada",C301,-C301))</f>
        <v/>
      </c>
      <c r="I301" s="21">
        <f>IF(A301="","",YEAR(A301)*100+MONTH(A301))</f>
        <v/>
      </c>
      <c r="J301" s="21">
        <f>IF(E301="Essencial",1,IF(E301="Dívidas",2,IF(E301="Importante",3,IF(E301="Quero",4,""))))</f>
        <v/>
      </c>
    </row>
    <row r="302">
      <c r="A302" s="19" t="n"/>
      <c r="C302" s="17" t="n"/>
      <c r="H302" s="20">
        <f>IF(OR(B302="",C302=""),0,IF(B302="Entrada",C302,-C302))</f>
        <v/>
      </c>
      <c r="I302" s="21">
        <f>IF(A302="","",YEAR(A302)*100+MONTH(A302))</f>
        <v/>
      </c>
      <c r="J302" s="21">
        <f>IF(E302="Essencial",1,IF(E302="Dívidas",2,IF(E302="Importante",3,IF(E302="Quero",4,""))))</f>
        <v/>
      </c>
    </row>
    <row r="303">
      <c r="A303" s="19" t="n"/>
      <c r="C303" s="17" t="n"/>
      <c r="H303" s="20">
        <f>IF(OR(B303="",C303=""),0,IF(B303="Entrada",C303,-C303))</f>
        <v/>
      </c>
      <c r="I303" s="21">
        <f>IF(A303="","",YEAR(A303)*100+MONTH(A303))</f>
        <v/>
      </c>
      <c r="J303" s="21">
        <f>IF(E303="Essencial",1,IF(E303="Dívidas",2,IF(E303="Importante",3,IF(E303="Quero",4,""))))</f>
        <v/>
      </c>
    </row>
    <row r="304">
      <c r="A304" s="19" t="n"/>
      <c r="C304" s="17" t="n"/>
      <c r="H304" s="20">
        <f>IF(OR(B304="",C304=""),0,IF(B304="Entrada",C304,-C304))</f>
        <v/>
      </c>
      <c r="I304" s="21">
        <f>IF(A304="","",YEAR(A304)*100+MONTH(A304))</f>
        <v/>
      </c>
      <c r="J304" s="21">
        <f>IF(E304="Essencial",1,IF(E304="Dívidas",2,IF(E304="Importante",3,IF(E304="Quero",4,""))))</f>
        <v/>
      </c>
    </row>
    <row r="305">
      <c r="A305" s="19" t="n"/>
      <c r="C305" s="17" t="n"/>
      <c r="H305" s="20">
        <f>IF(OR(B305="",C305=""),0,IF(B305="Entrada",C305,-C305))</f>
        <v/>
      </c>
      <c r="I305" s="21">
        <f>IF(A305="","",YEAR(A305)*100+MONTH(A305))</f>
        <v/>
      </c>
      <c r="J305" s="21">
        <f>IF(E305="Essencial",1,IF(E305="Dívidas",2,IF(E305="Importante",3,IF(E305="Quero",4,""))))</f>
        <v/>
      </c>
    </row>
    <row r="306">
      <c r="A306" s="19" t="n"/>
      <c r="C306" s="17" t="n"/>
      <c r="H306" s="20">
        <f>IF(OR(B306="",C306=""),0,IF(B306="Entrada",C306,-C306))</f>
        <v/>
      </c>
      <c r="I306" s="21">
        <f>IF(A306="","",YEAR(A306)*100+MONTH(A306))</f>
        <v/>
      </c>
      <c r="J306" s="21">
        <f>IF(E306="Essencial",1,IF(E306="Dívidas",2,IF(E306="Importante",3,IF(E306="Quero",4,""))))</f>
        <v/>
      </c>
    </row>
    <row r="307">
      <c r="A307" s="19" t="n"/>
      <c r="C307" s="17" t="n"/>
      <c r="H307" s="20">
        <f>IF(OR(B307="",C307=""),0,IF(B307="Entrada",C307,-C307))</f>
        <v/>
      </c>
      <c r="I307" s="21">
        <f>IF(A307="","",YEAR(A307)*100+MONTH(A307))</f>
        <v/>
      </c>
      <c r="J307" s="21">
        <f>IF(E307="Essencial",1,IF(E307="Dívidas",2,IF(E307="Importante",3,IF(E307="Quero",4,""))))</f>
        <v/>
      </c>
    </row>
    <row r="308">
      <c r="A308" s="19" t="n"/>
      <c r="C308" s="17" t="n"/>
      <c r="H308" s="20">
        <f>IF(OR(B308="",C308=""),0,IF(B308="Entrada",C308,-C308))</f>
        <v/>
      </c>
      <c r="I308" s="21">
        <f>IF(A308="","",YEAR(A308)*100+MONTH(A308))</f>
        <v/>
      </c>
      <c r="J308" s="21">
        <f>IF(E308="Essencial",1,IF(E308="Dívidas",2,IF(E308="Importante",3,IF(E308="Quero",4,""))))</f>
        <v/>
      </c>
    </row>
    <row r="309">
      <c r="A309" s="19" t="n"/>
      <c r="C309" s="17" t="n"/>
      <c r="H309" s="20">
        <f>IF(OR(B309="",C309=""),0,IF(B309="Entrada",C309,-C309))</f>
        <v/>
      </c>
      <c r="I309" s="21">
        <f>IF(A309="","",YEAR(A309)*100+MONTH(A309))</f>
        <v/>
      </c>
      <c r="J309" s="21">
        <f>IF(E309="Essencial",1,IF(E309="Dívidas",2,IF(E309="Importante",3,IF(E309="Quero",4,""))))</f>
        <v/>
      </c>
    </row>
    <row r="310">
      <c r="A310" s="19" t="n"/>
      <c r="C310" s="17" t="n"/>
      <c r="H310" s="20">
        <f>IF(OR(B310="",C310=""),0,IF(B310="Entrada",C310,-C310))</f>
        <v/>
      </c>
      <c r="I310" s="21">
        <f>IF(A310="","",YEAR(A310)*100+MONTH(A310))</f>
        <v/>
      </c>
      <c r="J310" s="21">
        <f>IF(E310="Essencial",1,IF(E310="Dívidas",2,IF(E310="Importante",3,IF(E310="Quero",4,""))))</f>
        <v/>
      </c>
    </row>
    <row r="311">
      <c r="A311" s="19" t="n"/>
      <c r="C311" s="17" t="n"/>
      <c r="H311" s="20">
        <f>IF(OR(B311="",C311=""),0,IF(B311="Entrada",C311,-C311))</f>
        <v/>
      </c>
      <c r="I311" s="21">
        <f>IF(A311="","",YEAR(A311)*100+MONTH(A311))</f>
        <v/>
      </c>
      <c r="J311" s="21">
        <f>IF(E311="Essencial",1,IF(E311="Dívidas",2,IF(E311="Importante",3,IF(E311="Quero",4,""))))</f>
        <v/>
      </c>
    </row>
    <row r="312">
      <c r="A312" s="19" t="n"/>
      <c r="C312" s="17" t="n"/>
      <c r="H312" s="20">
        <f>IF(OR(B312="",C312=""),0,IF(B312="Entrada",C312,-C312))</f>
        <v/>
      </c>
      <c r="I312" s="21">
        <f>IF(A312="","",YEAR(A312)*100+MONTH(A312))</f>
        <v/>
      </c>
      <c r="J312" s="21">
        <f>IF(E312="Essencial",1,IF(E312="Dívidas",2,IF(E312="Importante",3,IF(E312="Quero",4,""))))</f>
        <v/>
      </c>
    </row>
    <row r="313">
      <c r="A313" s="19" t="n"/>
      <c r="C313" s="17" t="n"/>
      <c r="H313" s="20">
        <f>IF(OR(B313="",C313=""),0,IF(B313="Entrada",C313,-C313))</f>
        <v/>
      </c>
      <c r="I313" s="21">
        <f>IF(A313="","",YEAR(A313)*100+MONTH(A313))</f>
        <v/>
      </c>
      <c r="J313" s="21">
        <f>IF(E313="Essencial",1,IF(E313="Dívidas",2,IF(E313="Importante",3,IF(E313="Quero",4,""))))</f>
        <v/>
      </c>
    </row>
    <row r="314">
      <c r="A314" s="19" t="n"/>
      <c r="C314" s="17" t="n"/>
      <c r="H314" s="20">
        <f>IF(OR(B314="",C314=""),0,IF(B314="Entrada",C314,-C314))</f>
        <v/>
      </c>
      <c r="I314" s="21">
        <f>IF(A314="","",YEAR(A314)*100+MONTH(A314))</f>
        <v/>
      </c>
      <c r="J314" s="21">
        <f>IF(E314="Essencial",1,IF(E314="Dívidas",2,IF(E314="Importante",3,IF(E314="Quero",4,""))))</f>
        <v/>
      </c>
    </row>
    <row r="315">
      <c r="A315" s="19" t="n"/>
      <c r="C315" s="17" t="n"/>
      <c r="H315" s="20">
        <f>IF(OR(B315="",C315=""),0,IF(B315="Entrada",C315,-C315))</f>
        <v/>
      </c>
      <c r="I315" s="21">
        <f>IF(A315="","",YEAR(A315)*100+MONTH(A315))</f>
        <v/>
      </c>
      <c r="J315" s="21">
        <f>IF(E315="Essencial",1,IF(E315="Dívidas",2,IF(E315="Importante",3,IF(E315="Quero",4,""))))</f>
        <v/>
      </c>
    </row>
    <row r="316">
      <c r="A316" s="19" t="n"/>
      <c r="C316" s="17" t="n"/>
      <c r="H316" s="20">
        <f>IF(OR(B316="",C316=""),0,IF(B316="Entrada",C316,-C316))</f>
        <v/>
      </c>
      <c r="I316" s="21">
        <f>IF(A316="","",YEAR(A316)*100+MONTH(A316))</f>
        <v/>
      </c>
      <c r="J316" s="21">
        <f>IF(E316="Essencial",1,IF(E316="Dívidas",2,IF(E316="Importante",3,IF(E316="Quero",4,""))))</f>
        <v/>
      </c>
    </row>
    <row r="317">
      <c r="A317" s="19" t="n"/>
      <c r="C317" s="17" t="n"/>
      <c r="H317" s="20">
        <f>IF(OR(B317="",C317=""),0,IF(B317="Entrada",C317,-C317))</f>
        <v/>
      </c>
      <c r="I317" s="21">
        <f>IF(A317="","",YEAR(A317)*100+MONTH(A317))</f>
        <v/>
      </c>
      <c r="J317" s="21">
        <f>IF(E317="Essencial",1,IF(E317="Dívidas",2,IF(E317="Importante",3,IF(E317="Quero",4,""))))</f>
        <v/>
      </c>
    </row>
    <row r="318">
      <c r="A318" s="19" t="n"/>
      <c r="C318" s="17" t="n"/>
      <c r="H318" s="20">
        <f>IF(OR(B318="",C318=""),0,IF(B318="Entrada",C318,-C318))</f>
        <v/>
      </c>
      <c r="I318" s="21">
        <f>IF(A318="","",YEAR(A318)*100+MONTH(A318))</f>
        <v/>
      </c>
      <c r="J318" s="21">
        <f>IF(E318="Essencial",1,IF(E318="Dívidas",2,IF(E318="Importante",3,IF(E318="Quero",4,""))))</f>
        <v/>
      </c>
    </row>
    <row r="319">
      <c r="A319" s="19" t="n"/>
      <c r="C319" s="17" t="n"/>
      <c r="H319" s="20">
        <f>IF(OR(B319="",C319=""),0,IF(B319="Entrada",C319,-C319))</f>
        <v/>
      </c>
      <c r="I319" s="21">
        <f>IF(A319="","",YEAR(A319)*100+MONTH(A319))</f>
        <v/>
      </c>
      <c r="J319" s="21">
        <f>IF(E319="Essencial",1,IF(E319="Dívidas",2,IF(E319="Importante",3,IF(E319="Quero",4,""))))</f>
        <v/>
      </c>
    </row>
    <row r="320">
      <c r="A320" s="19" t="n"/>
      <c r="C320" s="17" t="n"/>
      <c r="H320" s="20">
        <f>IF(OR(B320="",C320=""),0,IF(B320="Entrada",C320,-C320))</f>
        <v/>
      </c>
      <c r="I320" s="21">
        <f>IF(A320="","",YEAR(A320)*100+MONTH(A320))</f>
        <v/>
      </c>
      <c r="J320" s="21">
        <f>IF(E320="Essencial",1,IF(E320="Dívidas",2,IF(E320="Importante",3,IF(E320="Quero",4,""))))</f>
        <v/>
      </c>
    </row>
    <row r="321">
      <c r="A321" s="19" t="n"/>
      <c r="C321" s="17" t="n"/>
      <c r="H321" s="20">
        <f>IF(OR(B321="",C321=""),0,IF(B321="Entrada",C321,-C321))</f>
        <v/>
      </c>
      <c r="I321" s="21">
        <f>IF(A321="","",YEAR(A321)*100+MONTH(A321))</f>
        <v/>
      </c>
      <c r="J321" s="21">
        <f>IF(E321="Essencial",1,IF(E321="Dívidas",2,IF(E321="Importante",3,IF(E321="Quero",4,""))))</f>
        <v/>
      </c>
    </row>
    <row r="322">
      <c r="A322" s="19" t="n"/>
      <c r="C322" s="17" t="n"/>
      <c r="H322" s="20">
        <f>IF(OR(B322="",C322=""),0,IF(B322="Entrada",C322,-C322))</f>
        <v/>
      </c>
      <c r="I322" s="21">
        <f>IF(A322="","",YEAR(A322)*100+MONTH(A322))</f>
        <v/>
      </c>
      <c r="J322" s="21">
        <f>IF(E322="Essencial",1,IF(E322="Dívidas",2,IF(E322="Importante",3,IF(E322="Quero",4,""))))</f>
        <v/>
      </c>
    </row>
    <row r="323">
      <c r="A323" s="19" t="n"/>
      <c r="C323" s="17" t="n"/>
      <c r="H323" s="20">
        <f>IF(OR(B323="",C323=""),0,IF(B323="Entrada",C323,-C323))</f>
        <v/>
      </c>
      <c r="I323" s="21">
        <f>IF(A323="","",YEAR(A323)*100+MONTH(A323))</f>
        <v/>
      </c>
      <c r="J323" s="21">
        <f>IF(E323="Essencial",1,IF(E323="Dívidas",2,IF(E323="Importante",3,IF(E323="Quero",4,""))))</f>
        <v/>
      </c>
    </row>
    <row r="324">
      <c r="A324" s="19" t="n"/>
      <c r="C324" s="17" t="n"/>
      <c r="H324" s="20">
        <f>IF(OR(B324="",C324=""),0,IF(B324="Entrada",C324,-C324))</f>
        <v/>
      </c>
      <c r="I324" s="21">
        <f>IF(A324="","",YEAR(A324)*100+MONTH(A324))</f>
        <v/>
      </c>
      <c r="J324" s="21">
        <f>IF(E324="Essencial",1,IF(E324="Dívidas",2,IF(E324="Importante",3,IF(E324="Quero",4,""))))</f>
        <v/>
      </c>
    </row>
    <row r="325">
      <c r="A325" s="19" t="n"/>
      <c r="C325" s="17" t="n"/>
      <c r="H325" s="20">
        <f>IF(OR(B325="",C325=""),0,IF(B325="Entrada",C325,-C325))</f>
        <v/>
      </c>
      <c r="I325" s="21">
        <f>IF(A325="","",YEAR(A325)*100+MONTH(A325))</f>
        <v/>
      </c>
      <c r="J325" s="21">
        <f>IF(E325="Essencial",1,IF(E325="Dívidas",2,IF(E325="Importante",3,IF(E325="Quero",4,""))))</f>
        <v/>
      </c>
    </row>
    <row r="326">
      <c r="A326" s="19" t="n"/>
      <c r="C326" s="17" t="n"/>
      <c r="H326" s="20">
        <f>IF(OR(B326="",C326=""),0,IF(B326="Entrada",C326,-C326))</f>
        <v/>
      </c>
      <c r="I326" s="21">
        <f>IF(A326="","",YEAR(A326)*100+MONTH(A326))</f>
        <v/>
      </c>
      <c r="J326" s="21">
        <f>IF(E326="Essencial",1,IF(E326="Dívidas",2,IF(E326="Importante",3,IF(E326="Quero",4,""))))</f>
        <v/>
      </c>
    </row>
    <row r="327">
      <c r="A327" s="19" t="n"/>
      <c r="C327" s="17" t="n"/>
      <c r="H327" s="20">
        <f>IF(OR(B327="",C327=""),0,IF(B327="Entrada",C327,-C327))</f>
        <v/>
      </c>
      <c r="I327" s="21">
        <f>IF(A327="","",YEAR(A327)*100+MONTH(A327))</f>
        <v/>
      </c>
      <c r="J327" s="21">
        <f>IF(E327="Essencial",1,IF(E327="Dívidas",2,IF(E327="Importante",3,IF(E327="Quero",4,""))))</f>
        <v/>
      </c>
    </row>
    <row r="328">
      <c r="A328" s="19" t="n"/>
      <c r="C328" s="17" t="n"/>
      <c r="H328" s="20">
        <f>IF(OR(B328="",C328=""),0,IF(B328="Entrada",C328,-C328))</f>
        <v/>
      </c>
      <c r="I328" s="21">
        <f>IF(A328="","",YEAR(A328)*100+MONTH(A328))</f>
        <v/>
      </c>
      <c r="J328" s="21">
        <f>IF(E328="Essencial",1,IF(E328="Dívidas",2,IF(E328="Importante",3,IF(E328="Quero",4,""))))</f>
        <v/>
      </c>
    </row>
    <row r="329">
      <c r="A329" s="19" t="n"/>
      <c r="C329" s="17" t="n"/>
      <c r="H329" s="20">
        <f>IF(OR(B329="",C329=""),0,IF(B329="Entrada",C329,-C329))</f>
        <v/>
      </c>
      <c r="I329" s="21">
        <f>IF(A329="","",YEAR(A329)*100+MONTH(A329))</f>
        <v/>
      </c>
      <c r="J329" s="21">
        <f>IF(E329="Essencial",1,IF(E329="Dívidas",2,IF(E329="Importante",3,IF(E329="Quero",4,""))))</f>
        <v/>
      </c>
    </row>
    <row r="330">
      <c r="A330" s="19" t="n"/>
      <c r="C330" s="17" t="n"/>
      <c r="H330" s="20">
        <f>IF(OR(B330="",C330=""),0,IF(B330="Entrada",C330,-C330))</f>
        <v/>
      </c>
      <c r="I330" s="21">
        <f>IF(A330="","",YEAR(A330)*100+MONTH(A330))</f>
        <v/>
      </c>
      <c r="J330" s="21">
        <f>IF(E330="Essencial",1,IF(E330="Dívidas",2,IF(E330="Importante",3,IF(E330="Quero",4,""))))</f>
        <v/>
      </c>
    </row>
    <row r="331">
      <c r="A331" s="19" t="n"/>
      <c r="C331" s="17" t="n"/>
      <c r="H331" s="20">
        <f>IF(OR(B331="",C331=""),0,IF(B331="Entrada",C331,-C331))</f>
        <v/>
      </c>
      <c r="I331" s="21">
        <f>IF(A331="","",YEAR(A331)*100+MONTH(A331))</f>
        <v/>
      </c>
      <c r="J331" s="21">
        <f>IF(E331="Essencial",1,IF(E331="Dívidas",2,IF(E331="Importante",3,IF(E331="Quero",4,""))))</f>
        <v/>
      </c>
    </row>
    <row r="332">
      <c r="A332" s="19" t="n"/>
      <c r="C332" s="17" t="n"/>
      <c r="H332" s="20">
        <f>IF(OR(B332="",C332=""),0,IF(B332="Entrada",C332,-C332))</f>
        <v/>
      </c>
      <c r="I332" s="21">
        <f>IF(A332="","",YEAR(A332)*100+MONTH(A332))</f>
        <v/>
      </c>
      <c r="J332" s="21">
        <f>IF(E332="Essencial",1,IF(E332="Dívidas",2,IF(E332="Importante",3,IF(E332="Quero",4,""))))</f>
        <v/>
      </c>
    </row>
    <row r="333">
      <c r="A333" s="19" t="n"/>
      <c r="C333" s="17" t="n"/>
      <c r="H333" s="20">
        <f>IF(OR(B333="",C333=""),0,IF(B333="Entrada",C333,-C333))</f>
        <v/>
      </c>
      <c r="I333" s="21">
        <f>IF(A333="","",YEAR(A333)*100+MONTH(A333))</f>
        <v/>
      </c>
      <c r="J333" s="21">
        <f>IF(E333="Essencial",1,IF(E333="Dívidas",2,IF(E333="Importante",3,IF(E333="Quero",4,""))))</f>
        <v/>
      </c>
    </row>
    <row r="334">
      <c r="A334" s="19" t="n"/>
      <c r="C334" s="17" t="n"/>
      <c r="H334" s="20">
        <f>IF(OR(B334="",C334=""),0,IF(B334="Entrada",C334,-C334))</f>
        <v/>
      </c>
      <c r="I334" s="21">
        <f>IF(A334="","",YEAR(A334)*100+MONTH(A334))</f>
        <v/>
      </c>
      <c r="J334" s="21">
        <f>IF(E334="Essencial",1,IF(E334="Dívidas",2,IF(E334="Importante",3,IF(E334="Quero",4,""))))</f>
        <v/>
      </c>
    </row>
    <row r="335">
      <c r="A335" s="19" t="n"/>
      <c r="C335" s="17" t="n"/>
      <c r="H335" s="20">
        <f>IF(OR(B335="",C335=""),0,IF(B335="Entrada",C335,-C335))</f>
        <v/>
      </c>
      <c r="I335" s="21">
        <f>IF(A335="","",YEAR(A335)*100+MONTH(A335))</f>
        <v/>
      </c>
      <c r="J335" s="21">
        <f>IF(E335="Essencial",1,IF(E335="Dívidas",2,IF(E335="Importante",3,IF(E335="Quero",4,""))))</f>
        <v/>
      </c>
    </row>
    <row r="336">
      <c r="A336" s="19" t="n"/>
      <c r="C336" s="17" t="n"/>
      <c r="H336" s="20">
        <f>IF(OR(B336="",C336=""),0,IF(B336="Entrada",C336,-C336))</f>
        <v/>
      </c>
      <c r="I336" s="21">
        <f>IF(A336="","",YEAR(A336)*100+MONTH(A336))</f>
        <v/>
      </c>
      <c r="J336" s="21">
        <f>IF(E336="Essencial",1,IF(E336="Dívidas",2,IF(E336="Importante",3,IF(E336="Quero",4,""))))</f>
        <v/>
      </c>
    </row>
    <row r="337">
      <c r="A337" s="19" t="n"/>
      <c r="C337" s="17" t="n"/>
      <c r="H337" s="20">
        <f>IF(OR(B337="",C337=""),0,IF(B337="Entrada",C337,-C337))</f>
        <v/>
      </c>
      <c r="I337" s="21">
        <f>IF(A337="","",YEAR(A337)*100+MONTH(A337))</f>
        <v/>
      </c>
      <c r="J337" s="21">
        <f>IF(E337="Essencial",1,IF(E337="Dívidas",2,IF(E337="Importante",3,IF(E337="Quero",4,""))))</f>
        <v/>
      </c>
    </row>
    <row r="338">
      <c r="A338" s="19" t="n"/>
      <c r="C338" s="17" t="n"/>
      <c r="H338" s="20">
        <f>IF(OR(B338="",C338=""),0,IF(B338="Entrada",C338,-C338))</f>
        <v/>
      </c>
      <c r="I338" s="21">
        <f>IF(A338="","",YEAR(A338)*100+MONTH(A338))</f>
        <v/>
      </c>
      <c r="J338" s="21">
        <f>IF(E338="Essencial",1,IF(E338="Dívidas",2,IF(E338="Importante",3,IF(E338="Quero",4,""))))</f>
        <v/>
      </c>
    </row>
    <row r="339">
      <c r="A339" s="19" t="n"/>
      <c r="C339" s="17" t="n"/>
      <c r="H339" s="20">
        <f>IF(OR(B339="",C339=""),0,IF(B339="Entrada",C339,-C339))</f>
        <v/>
      </c>
      <c r="I339" s="21">
        <f>IF(A339="","",YEAR(A339)*100+MONTH(A339))</f>
        <v/>
      </c>
      <c r="J339" s="21">
        <f>IF(E339="Essencial",1,IF(E339="Dívidas",2,IF(E339="Importante",3,IF(E339="Quero",4,""))))</f>
        <v/>
      </c>
    </row>
    <row r="340">
      <c r="A340" s="19" t="n"/>
      <c r="C340" s="17" t="n"/>
      <c r="H340" s="20">
        <f>IF(OR(B340="",C340=""),0,IF(B340="Entrada",C340,-C340))</f>
        <v/>
      </c>
      <c r="I340" s="21">
        <f>IF(A340="","",YEAR(A340)*100+MONTH(A340))</f>
        <v/>
      </c>
      <c r="J340" s="21">
        <f>IF(E340="Essencial",1,IF(E340="Dívidas",2,IF(E340="Importante",3,IF(E340="Quero",4,""))))</f>
        <v/>
      </c>
    </row>
    <row r="341">
      <c r="A341" s="19" t="n"/>
      <c r="C341" s="17" t="n"/>
      <c r="H341" s="20">
        <f>IF(OR(B341="",C341=""),0,IF(B341="Entrada",C341,-C341))</f>
        <v/>
      </c>
      <c r="I341" s="21">
        <f>IF(A341="","",YEAR(A341)*100+MONTH(A341))</f>
        <v/>
      </c>
      <c r="J341" s="21">
        <f>IF(E341="Essencial",1,IF(E341="Dívidas",2,IF(E341="Importante",3,IF(E341="Quero",4,""))))</f>
        <v/>
      </c>
    </row>
    <row r="342">
      <c r="A342" s="19" t="n"/>
      <c r="C342" s="17" t="n"/>
      <c r="H342" s="20">
        <f>IF(OR(B342="",C342=""),0,IF(B342="Entrada",C342,-C342))</f>
        <v/>
      </c>
      <c r="I342" s="21">
        <f>IF(A342="","",YEAR(A342)*100+MONTH(A342))</f>
        <v/>
      </c>
      <c r="J342" s="21">
        <f>IF(E342="Essencial",1,IF(E342="Dívidas",2,IF(E342="Importante",3,IF(E342="Quero",4,""))))</f>
        <v/>
      </c>
    </row>
    <row r="343">
      <c r="A343" s="19" t="n"/>
      <c r="C343" s="17" t="n"/>
      <c r="H343" s="20">
        <f>IF(OR(B343="",C343=""),0,IF(B343="Entrada",C343,-C343))</f>
        <v/>
      </c>
      <c r="I343" s="21">
        <f>IF(A343="","",YEAR(A343)*100+MONTH(A343))</f>
        <v/>
      </c>
      <c r="J343" s="21">
        <f>IF(E343="Essencial",1,IF(E343="Dívidas",2,IF(E343="Importante",3,IF(E343="Quero",4,""))))</f>
        <v/>
      </c>
    </row>
    <row r="344">
      <c r="A344" s="19" t="n"/>
      <c r="C344" s="17" t="n"/>
      <c r="H344" s="20">
        <f>IF(OR(B344="",C344=""),0,IF(B344="Entrada",C344,-C344))</f>
        <v/>
      </c>
      <c r="I344" s="21">
        <f>IF(A344="","",YEAR(A344)*100+MONTH(A344))</f>
        <v/>
      </c>
      <c r="J344" s="21">
        <f>IF(E344="Essencial",1,IF(E344="Dívidas",2,IF(E344="Importante",3,IF(E344="Quero",4,""))))</f>
        <v/>
      </c>
    </row>
    <row r="345">
      <c r="A345" s="19" t="n"/>
      <c r="C345" s="17" t="n"/>
      <c r="H345" s="20">
        <f>IF(OR(B345="",C345=""),0,IF(B345="Entrada",C345,-C345))</f>
        <v/>
      </c>
      <c r="I345" s="21">
        <f>IF(A345="","",YEAR(A345)*100+MONTH(A345))</f>
        <v/>
      </c>
      <c r="J345" s="21">
        <f>IF(E345="Essencial",1,IF(E345="Dívidas",2,IF(E345="Importante",3,IF(E345="Quero",4,""))))</f>
        <v/>
      </c>
    </row>
    <row r="346">
      <c r="A346" s="19" t="n"/>
      <c r="C346" s="17" t="n"/>
      <c r="H346" s="20">
        <f>IF(OR(B346="",C346=""),0,IF(B346="Entrada",C346,-C346))</f>
        <v/>
      </c>
      <c r="I346" s="21">
        <f>IF(A346="","",YEAR(A346)*100+MONTH(A346))</f>
        <v/>
      </c>
      <c r="J346" s="21">
        <f>IF(E346="Essencial",1,IF(E346="Dívidas",2,IF(E346="Importante",3,IF(E346="Quero",4,""))))</f>
        <v/>
      </c>
    </row>
    <row r="347">
      <c r="A347" s="19" t="n"/>
      <c r="C347" s="17" t="n"/>
      <c r="H347" s="20">
        <f>IF(OR(B347="",C347=""),0,IF(B347="Entrada",C347,-C347))</f>
        <v/>
      </c>
      <c r="I347" s="21">
        <f>IF(A347="","",YEAR(A347)*100+MONTH(A347))</f>
        <v/>
      </c>
      <c r="J347" s="21">
        <f>IF(E347="Essencial",1,IF(E347="Dívidas",2,IF(E347="Importante",3,IF(E347="Quero",4,""))))</f>
        <v/>
      </c>
    </row>
    <row r="348">
      <c r="A348" s="19" t="n"/>
      <c r="C348" s="17" t="n"/>
      <c r="H348" s="20">
        <f>IF(OR(B348="",C348=""),0,IF(B348="Entrada",C348,-C348))</f>
        <v/>
      </c>
      <c r="I348" s="21">
        <f>IF(A348="","",YEAR(A348)*100+MONTH(A348))</f>
        <v/>
      </c>
      <c r="J348" s="21">
        <f>IF(E348="Essencial",1,IF(E348="Dívidas",2,IF(E348="Importante",3,IF(E348="Quero",4,""))))</f>
        <v/>
      </c>
    </row>
    <row r="349">
      <c r="A349" s="19" t="n"/>
      <c r="C349" s="17" t="n"/>
      <c r="H349" s="20">
        <f>IF(OR(B349="",C349=""),0,IF(B349="Entrada",C349,-C349))</f>
        <v/>
      </c>
      <c r="I349" s="21">
        <f>IF(A349="","",YEAR(A349)*100+MONTH(A349))</f>
        <v/>
      </c>
      <c r="J349" s="21">
        <f>IF(E349="Essencial",1,IF(E349="Dívidas",2,IF(E349="Importante",3,IF(E349="Quero",4,""))))</f>
        <v/>
      </c>
    </row>
    <row r="350">
      <c r="A350" s="19" t="n"/>
      <c r="C350" s="17" t="n"/>
      <c r="H350" s="20">
        <f>IF(OR(B350="",C350=""),0,IF(B350="Entrada",C350,-C350))</f>
        <v/>
      </c>
      <c r="I350" s="21">
        <f>IF(A350="","",YEAR(A350)*100+MONTH(A350))</f>
        <v/>
      </c>
      <c r="J350" s="21">
        <f>IF(E350="Essencial",1,IF(E350="Dívidas",2,IF(E350="Importante",3,IF(E350="Quero",4,""))))</f>
        <v/>
      </c>
    </row>
    <row r="351">
      <c r="A351" s="19" t="n"/>
      <c r="C351" s="17" t="n"/>
      <c r="H351" s="20">
        <f>IF(OR(B351="",C351=""),0,IF(B351="Entrada",C351,-C351))</f>
        <v/>
      </c>
      <c r="I351" s="21">
        <f>IF(A351="","",YEAR(A351)*100+MONTH(A351))</f>
        <v/>
      </c>
      <c r="J351" s="21">
        <f>IF(E351="Essencial",1,IF(E351="Dívidas",2,IF(E351="Importante",3,IF(E351="Quero",4,""))))</f>
        <v/>
      </c>
    </row>
    <row r="352">
      <c r="A352" s="19" t="n"/>
      <c r="C352" s="17" t="n"/>
      <c r="H352" s="20">
        <f>IF(OR(B352="",C352=""),0,IF(B352="Entrada",C352,-C352))</f>
        <v/>
      </c>
      <c r="I352" s="21">
        <f>IF(A352="","",YEAR(A352)*100+MONTH(A352))</f>
        <v/>
      </c>
      <c r="J352" s="21">
        <f>IF(E352="Essencial",1,IF(E352="Dívidas",2,IF(E352="Importante",3,IF(E352="Quero",4,""))))</f>
        <v/>
      </c>
    </row>
    <row r="353">
      <c r="A353" s="19" t="n"/>
      <c r="C353" s="17" t="n"/>
      <c r="H353" s="20">
        <f>IF(OR(B353="",C353=""),0,IF(B353="Entrada",C353,-C353))</f>
        <v/>
      </c>
      <c r="I353" s="21">
        <f>IF(A353="","",YEAR(A353)*100+MONTH(A353))</f>
        <v/>
      </c>
      <c r="J353" s="21">
        <f>IF(E353="Essencial",1,IF(E353="Dívidas",2,IF(E353="Importante",3,IF(E353="Quero",4,""))))</f>
        <v/>
      </c>
    </row>
    <row r="354">
      <c r="A354" s="19" t="n"/>
      <c r="C354" s="17" t="n"/>
      <c r="H354" s="20">
        <f>IF(OR(B354="",C354=""),0,IF(B354="Entrada",C354,-C354))</f>
        <v/>
      </c>
      <c r="I354" s="21">
        <f>IF(A354="","",YEAR(A354)*100+MONTH(A354))</f>
        <v/>
      </c>
      <c r="J354" s="21">
        <f>IF(E354="Essencial",1,IF(E354="Dívidas",2,IF(E354="Importante",3,IF(E354="Quero",4,""))))</f>
        <v/>
      </c>
    </row>
    <row r="355">
      <c r="A355" s="19" t="n"/>
      <c r="C355" s="17" t="n"/>
      <c r="H355" s="20">
        <f>IF(OR(B355="",C355=""),0,IF(B355="Entrada",C355,-C355))</f>
        <v/>
      </c>
      <c r="I355" s="21">
        <f>IF(A355="","",YEAR(A355)*100+MONTH(A355))</f>
        <v/>
      </c>
      <c r="J355" s="21">
        <f>IF(E355="Essencial",1,IF(E355="Dívidas",2,IF(E355="Importante",3,IF(E355="Quero",4,""))))</f>
        <v/>
      </c>
    </row>
    <row r="356">
      <c r="A356" s="19" t="n"/>
      <c r="C356" s="17" t="n"/>
      <c r="H356" s="20">
        <f>IF(OR(B356="",C356=""),0,IF(B356="Entrada",C356,-C356))</f>
        <v/>
      </c>
      <c r="I356" s="21">
        <f>IF(A356="","",YEAR(A356)*100+MONTH(A356))</f>
        <v/>
      </c>
      <c r="J356" s="21">
        <f>IF(E356="Essencial",1,IF(E356="Dívidas",2,IF(E356="Importante",3,IF(E356="Quero",4,""))))</f>
        <v/>
      </c>
    </row>
    <row r="357">
      <c r="A357" s="19" t="n"/>
      <c r="C357" s="17" t="n"/>
      <c r="H357" s="20">
        <f>IF(OR(B357="",C357=""),0,IF(B357="Entrada",C357,-C357))</f>
        <v/>
      </c>
      <c r="I357" s="21">
        <f>IF(A357="","",YEAR(A357)*100+MONTH(A357))</f>
        <v/>
      </c>
      <c r="J357" s="21">
        <f>IF(E357="Essencial",1,IF(E357="Dívidas",2,IF(E357="Importante",3,IF(E357="Quero",4,""))))</f>
        <v/>
      </c>
    </row>
    <row r="358">
      <c r="A358" s="19" t="n"/>
      <c r="C358" s="17" t="n"/>
      <c r="H358" s="20">
        <f>IF(OR(B358="",C358=""),0,IF(B358="Entrada",C358,-C358))</f>
        <v/>
      </c>
      <c r="I358" s="21">
        <f>IF(A358="","",YEAR(A358)*100+MONTH(A358))</f>
        <v/>
      </c>
      <c r="J358" s="21">
        <f>IF(E358="Essencial",1,IF(E358="Dívidas",2,IF(E358="Importante",3,IF(E358="Quero",4,""))))</f>
        <v/>
      </c>
    </row>
    <row r="359">
      <c r="A359" s="19" t="n"/>
      <c r="C359" s="17" t="n"/>
      <c r="H359" s="20">
        <f>IF(OR(B359="",C359=""),0,IF(B359="Entrada",C359,-C359))</f>
        <v/>
      </c>
      <c r="I359" s="21">
        <f>IF(A359="","",YEAR(A359)*100+MONTH(A359))</f>
        <v/>
      </c>
      <c r="J359" s="21">
        <f>IF(E359="Essencial",1,IF(E359="Dívidas",2,IF(E359="Importante",3,IF(E359="Quero",4,""))))</f>
        <v/>
      </c>
    </row>
    <row r="360">
      <c r="A360" s="19" t="n"/>
      <c r="C360" s="17" t="n"/>
      <c r="H360" s="20">
        <f>IF(OR(B360="",C360=""),0,IF(B360="Entrada",C360,-C360))</f>
        <v/>
      </c>
      <c r="I360" s="21">
        <f>IF(A360="","",YEAR(A360)*100+MONTH(A360))</f>
        <v/>
      </c>
      <c r="J360" s="21">
        <f>IF(E360="Essencial",1,IF(E360="Dívidas",2,IF(E360="Importante",3,IF(E360="Quero",4,""))))</f>
        <v/>
      </c>
    </row>
    <row r="361">
      <c r="A361" s="19" t="n"/>
      <c r="C361" s="17" t="n"/>
      <c r="H361" s="20">
        <f>IF(OR(B361="",C361=""),0,IF(B361="Entrada",C361,-C361))</f>
        <v/>
      </c>
      <c r="I361" s="21">
        <f>IF(A361="","",YEAR(A361)*100+MONTH(A361))</f>
        <v/>
      </c>
      <c r="J361" s="21">
        <f>IF(E361="Essencial",1,IF(E361="Dívidas",2,IF(E361="Importante",3,IF(E361="Quero",4,""))))</f>
        <v/>
      </c>
    </row>
    <row r="362">
      <c r="A362" s="19" t="n"/>
      <c r="C362" s="17" t="n"/>
      <c r="H362" s="20">
        <f>IF(OR(B362="",C362=""),0,IF(B362="Entrada",C362,-C362))</f>
        <v/>
      </c>
      <c r="I362" s="21">
        <f>IF(A362="","",YEAR(A362)*100+MONTH(A362))</f>
        <v/>
      </c>
      <c r="J362" s="21">
        <f>IF(E362="Essencial",1,IF(E362="Dívidas",2,IF(E362="Importante",3,IF(E362="Quero",4,""))))</f>
        <v/>
      </c>
    </row>
    <row r="363">
      <c r="A363" s="19" t="n"/>
      <c r="C363" s="17" t="n"/>
      <c r="H363" s="20">
        <f>IF(OR(B363="",C363=""),0,IF(B363="Entrada",C363,-C363))</f>
        <v/>
      </c>
      <c r="I363" s="21">
        <f>IF(A363="","",YEAR(A363)*100+MONTH(A363))</f>
        <v/>
      </c>
      <c r="J363" s="21">
        <f>IF(E363="Essencial",1,IF(E363="Dívidas",2,IF(E363="Importante",3,IF(E363="Quero",4,""))))</f>
        <v/>
      </c>
    </row>
    <row r="364">
      <c r="A364" s="19" t="n"/>
      <c r="C364" s="17" t="n"/>
      <c r="H364" s="20">
        <f>IF(OR(B364="",C364=""),0,IF(B364="Entrada",C364,-C364))</f>
        <v/>
      </c>
      <c r="I364" s="21">
        <f>IF(A364="","",YEAR(A364)*100+MONTH(A364))</f>
        <v/>
      </c>
      <c r="J364" s="21">
        <f>IF(E364="Essencial",1,IF(E364="Dívidas",2,IF(E364="Importante",3,IF(E364="Quero",4,""))))</f>
        <v/>
      </c>
    </row>
    <row r="365">
      <c r="A365" s="19" t="n"/>
      <c r="C365" s="17" t="n"/>
      <c r="H365" s="20">
        <f>IF(OR(B365="",C365=""),0,IF(B365="Entrada",C365,-C365))</f>
        <v/>
      </c>
      <c r="I365" s="21">
        <f>IF(A365="","",YEAR(A365)*100+MONTH(A365))</f>
        <v/>
      </c>
      <c r="J365" s="21">
        <f>IF(E365="Essencial",1,IF(E365="Dívidas",2,IF(E365="Importante",3,IF(E365="Quero",4,""))))</f>
        <v/>
      </c>
    </row>
    <row r="366">
      <c r="A366" s="19" t="n"/>
      <c r="C366" s="17" t="n"/>
      <c r="H366" s="20">
        <f>IF(OR(B366="",C366=""),0,IF(B366="Entrada",C366,-C366))</f>
        <v/>
      </c>
      <c r="I366" s="21">
        <f>IF(A366="","",YEAR(A366)*100+MONTH(A366))</f>
        <v/>
      </c>
      <c r="J366" s="21">
        <f>IF(E366="Essencial",1,IF(E366="Dívidas",2,IF(E366="Importante",3,IF(E366="Quero",4,""))))</f>
        <v/>
      </c>
    </row>
    <row r="367">
      <c r="A367" s="19" t="n"/>
      <c r="C367" s="17" t="n"/>
      <c r="H367" s="20">
        <f>IF(OR(B367="",C367=""),0,IF(B367="Entrada",C367,-C367))</f>
        <v/>
      </c>
      <c r="I367" s="21">
        <f>IF(A367="","",YEAR(A367)*100+MONTH(A367))</f>
        <v/>
      </c>
      <c r="J367" s="21">
        <f>IF(E367="Essencial",1,IF(E367="Dívidas",2,IF(E367="Importante",3,IF(E367="Quero",4,""))))</f>
        <v/>
      </c>
    </row>
    <row r="368">
      <c r="A368" s="19" t="n"/>
      <c r="C368" s="17" t="n"/>
      <c r="H368" s="20">
        <f>IF(OR(B368="",C368=""),0,IF(B368="Entrada",C368,-C368))</f>
        <v/>
      </c>
      <c r="I368" s="21">
        <f>IF(A368="","",YEAR(A368)*100+MONTH(A368))</f>
        <v/>
      </c>
      <c r="J368" s="21">
        <f>IF(E368="Essencial",1,IF(E368="Dívidas",2,IF(E368="Importante",3,IF(E368="Quero",4,""))))</f>
        <v/>
      </c>
    </row>
    <row r="369">
      <c r="A369" s="19" t="n"/>
      <c r="C369" s="17" t="n"/>
      <c r="H369" s="20">
        <f>IF(OR(B369="",C369=""),0,IF(B369="Entrada",C369,-C369))</f>
        <v/>
      </c>
      <c r="I369" s="21">
        <f>IF(A369="","",YEAR(A369)*100+MONTH(A369))</f>
        <v/>
      </c>
      <c r="J369" s="21">
        <f>IF(E369="Essencial",1,IF(E369="Dívidas",2,IF(E369="Importante",3,IF(E369="Quero",4,""))))</f>
        <v/>
      </c>
    </row>
    <row r="370">
      <c r="A370" s="19" t="n"/>
      <c r="C370" s="17" t="n"/>
      <c r="H370" s="20">
        <f>IF(OR(B370="",C370=""),0,IF(B370="Entrada",C370,-C370))</f>
        <v/>
      </c>
      <c r="I370" s="21">
        <f>IF(A370="","",YEAR(A370)*100+MONTH(A370))</f>
        <v/>
      </c>
      <c r="J370" s="21">
        <f>IF(E370="Essencial",1,IF(E370="Dívidas",2,IF(E370="Importante",3,IF(E370="Quero",4,""))))</f>
        <v/>
      </c>
    </row>
    <row r="371">
      <c r="A371" s="19" t="n"/>
      <c r="C371" s="17" t="n"/>
      <c r="H371" s="20">
        <f>IF(OR(B371="",C371=""),0,IF(B371="Entrada",C371,-C371))</f>
        <v/>
      </c>
      <c r="I371" s="21">
        <f>IF(A371="","",YEAR(A371)*100+MONTH(A371))</f>
        <v/>
      </c>
      <c r="J371" s="21">
        <f>IF(E371="Essencial",1,IF(E371="Dívidas",2,IF(E371="Importante",3,IF(E371="Quero",4,""))))</f>
        <v/>
      </c>
    </row>
    <row r="372">
      <c r="A372" s="19" t="n"/>
      <c r="C372" s="17" t="n"/>
      <c r="H372" s="20">
        <f>IF(OR(B372="",C372=""),0,IF(B372="Entrada",C372,-C372))</f>
        <v/>
      </c>
      <c r="I372" s="21">
        <f>IF(A372="","",YEAR(A372)*100+MONTH(A372))</f>
        <v/>
      </c>
      <c r="J372" s="21">
        <f>IF(E372="Essencial",1,IF(E372="Dívidas",2,IF(E372="Importante",3,IF(E372="Quero",4,""))))</f>
        <v/>
      </c>
    </row>
    <row r="373">
      <c r="A373" s="19" t="n"/>
      <c r="C373" s="17" t="n"/>
      <c r="H373" s="20">
        <f>IF(OR(B373="",C373=""),0,IF(B373="Entrada",C373,-C373))</f>
        <v/>
      </c>
      <c r="I373" s="21">
        <f>IF(A373="","",YEAR(A373)*100+MONTH(A373))</f>
        <v/>
      </c>
      <c r="J373" s="21">
        <f>IF(E373="Essencial",1,IF(E373="Dívidas",2,IF(E373="Importante",3,IF(E373="Quero",4,""))))</f>
        <v/>
      </c>
    </row>
    <row r="374">
      <c r="A374" s="19" t="n"/>
      <c r="C374" s="17" t="n"/>
      <c r="H374" s="20">
        <f>IF(OR(B374="",C374=""),0,IF(B374="Entrada",C374,-C374))</f>
        <v/>
      </c>
      <c r="I374" s="21">
        <f>IF(A374="","",YEAR(A374)*100+MONTH(A374))</f>
        <v/>
      </c>
      <c r="J374" s="21">
        <f>IF(E374="Essencial",1,IF(E374="Dívidas",2,IF(E374="Importante",3,IF(E374="Quero",4,""))))</f>
        <v/>
      </c>
    </row>
    <row r="375">
      <c r="A375" s="19" t="n"/>
      <c r="C375" s="17" t="n"/>
      <c r="H375" s="20">
        <f>IF(OR(B375="",C375=""),0,IF(B375="Entrada",C375,-C375))</f>
        <v/>
      </c>
      <c r="I375" s="21">
        <f>IF(A375="","",YEAR(A375)*100+MONTH(A375))</f>
        <v/>
      </c>
      <c r="J375" s="21">
        <f>IF(E375="Essencial",1,IF(E375="Dívidas",2,IF(E375="Importante",3,IF(E375="Quero",4,""))))</f>
        <v/>
      </c>
    </row>
    <row r="376">
      <c r="A376" s="19" t="n"/>
      <c r="C376" s="17" t="n"/>
      <c r="H376" s="20">
        <f>IF(OR(B376="",C376=""),0,IF(B376="Entrada",C376,-C376))</f>
        <v/>
      </c>
      <c r="I376" s="21">
        <f>IF(A376="","",YEAR(A376)*100+MONTH(A376))</f>
        <v/>
      </c>
      <c r="J376" s="21">
        <f>IF(E376="Essencial",1,IF(E376="Dívidas",2,IF(E376="Importante",3,IF(E376="Quero",4,""))))</f>
        <v/>
      </c>
    </row>
    <row r="377">
      <c r="A377" s="19" t="n"/>
      <c r="C377" s="17" t="n"/>
      <c r="H377" s="20">
        <f>IF(OR(B377="",C377=""),0,IF(B377="Entrada",C377,-C377))</f>
        <v/>
      </c>
      <c r="I377" s="21">
        <f>IF(A377="","",YEAR(A377)*100+MONTH(A377))</f>
        <v/>
      </c>
      <c r="J377" s="21">
        <f>IF(E377="Essencial",1,IF(E377="Dívidas",2,IF(E377="Importante",3,IF(E377="Quero",4,""))))</f>
        <v/>
      </c>
    </row>
    <row r="378">
      <c r="A378" s="19" t="n"/>
      <c r="C378" s="17" t="n"/>
      <c r="H378" s="20">
        <f>IF(OR(B378="",C378=""),0,IF(B378="Entrada",C378,-C378))</f>
        <v/>
      </c>
      <c r="I378" s="21">
        <f>IF(A378="","",YEAR(A378)*100+MONTH(A378))</f>
        <v/>
      </c>
      <c r="J378" s="21">
        <f>IF(E378="Essencial",1,IF(E378="Dívidas",2,IF(E378="Importante",3,IF(E378="Quero",4,""))))</f>
        <v/>
      </c>
    </row>
    <row r="379">
      <c r="A379" s="19" t="n"/>
      <c r="C379" s="17" t="n"/>
      <c r="H379" s="20">
        <f>IF(OR(B379="",C379=""),0,IF(B379="Entrada",C379,-C379))</f>
        <v/>
      </c>
      <c r="I379" s="21">
        <f>IF(A379="","",YEAR(A379)*100+MONTH(A379))</f>
        <v/>
      </c>
      <c r="J379" s="21">
        <f>IF(E379="Essencial",1,IF(E379="Dívidas",2,IF(E379="Importante",3,IF(E379="Quero",4,""))))</f>
        <v/>
      </c>
    </row>
    <row r="380">
      <c r="A380" s="19" t="n"/>
      <c r="C380" s="17" t="n"/>
      <c r="H380" s="20">
        <f>IF(OR(B380="",C380=""),0,IF(B380="Entrada",C380,-C380))</f>
        <v/>
      </c>
      <c r="I380" s="21">
        <f>IF(A380="","",YEAR(A380)*100+MONTH(A380))</f>
        <v/>
      </c>
      <c r="J380" s="21">
        <f>IF(E380="Essencial",1,IF(E380="Dívidas",2,IF(E380="Importante",3,IF(E380="Quero",4,""))))</f>
        <v/>
      </c>
    </row>
    <row r="381">
      <c r="A381" s="19" t="n"/>
      <c r="C381" s="17" t="n"/>
      <c r="H381" s="20">
        <f>IF(OR(B381="",C381=""),0,IF(B381="Entrada",C381,-C381))</f>
        <v/>
      </c>
      <c r="I381" s="21">
        <f>IF(A381="","",YEAR(A381)*100+MONTH(A381))</f>
        <v/>
      </c>
      <c r="J381" s="21">
        <f>IF(E381="Essencial",1,IF(E381="Dívidas",2,IF(E381="Importante",3,IF(E381="Quero",4,""))))</f>
        <v/>
      </c>
    </row>
    <row r="382">
      <c r="A382" s="19" t="n"/>
      <c r="C382" s="17" t="n"/>
      <c r="H382" s="20">
        <f>IF(OR(B382="",C382=""),0,IF(B382="Entrada",C382,-C382))</f>
        <v/>
      </c>
      <c r="I382" s="21">
        <f>IF(A382="","",YEAR(A382)*100+MONTH(A382))</f>
        <v/>
      </c>
      <c r="J382" s="21">
        <f>IF(E382="Essencial",1,IF(E382="Dívidas",2,IF(E382="Importante",3,IF(E382="Quero",4,""))))</f>
        <v/>
      </c>
    </row>
    <row r="383">
      <c r="A383" s="19" t="n"/>
      <c r="C383" s="17" t="n"/>
      <c r="H383" s="20">
        <f>IF(OR(B383="",C383=""),0,IF(B383="Entrada",C383,-C383))</f>
        <v/>
      </c>
      <c r="I383" s="21">
        <f>IF(A383="","",YEAR(A383)*100+MONTH(A383))</f>
        <v/>
      </c>
      <c r="J383" s="21">
        <f>IF(E383="Essencial",1,IF(E383="Dívidas",2,IF(E383="Importante",3,IF(E383="Quero",4,""))))</f>
        <v/>
      </c>
    </row>
    <row r="384">
      <c r="A384" s="19" t="n"/>
      <c r="C384" s="17" t="n"/>
      <c r="H384" s="20">
        <f>IF(OR(B384="",C384=""),0,IF(B384="Entrada",C384,-C384))</f>
        <v/>
      </c>
      <c r="I384" s="21">
        <f>IF(A384="","",YEAR(A384)*100+MONTH(A384))</f>
        <v/>
      </c>
      <c r="J384" s="21">
        <f>IF(E384="Essencial",1,IF(E384="Dívidas",2,IF(E384="Importante",3,IF(E384="Quero",4,""))))</f>
        <v/>
      </c>
    </row>
    <row r="385">
      <c r="A385" s="19" t="n"/>
      <c r="C385" s="17" t="n"/>
      <c r="H385" s="20">
        <f>IF(OR(B385="",C385=""),0,IF(B385="Entrada",C385,-C385))</f>
        <v/>
      </c>
      <c r="I385" s="21">
        <f>IF(A385="","",YEAR(A385)*100+MONTH(A385))</f>
        <v/>
      </c>
      <c r="J385" s="21">
        <f>IF(E385="Essencial",1,IF(E385="Dívidas",2,IF(E385="Importante",3,IF(E385="Quero",4,""))))</f>
        <v/>
      </c>
    </row>
    <row r="386">
      <c r="A386" s="19" t="n"/>
      <c r="C386" s="17" t="n"/>
      <c r="H386" s="20">
        <f>IF(OR(B386="",C386=""),0,IF(B386="Entrada",C386,-C386))</f>
        <v/>
      </c>
      <c r="I386" s="21">
        <f>IF(A386="","",YEAR(A386)*100+MONTH(A386))</f>
        <v/>
      </c>
      <c r="J386" s="21">
        <f>IF(E386="Essencial",1,IF(E386="Dívidas",2,IF(E386="Importante",3,IF(E386="Quero",4,""))))</f>
        <v/>
      </c>
    </row>
    <row r="387">
      <c r="A387" s="19" t="n"/>
      <c r="C387" s="17" t="n"/>
      <c r="H387" s="20">
        <f>IF(OR(B387="",C387=""),0,IF(B387="Entrada",C387,-C387))</f>
        <v/>
      </c>
      <c r="I387" s="21">
        <f>IF(A387="","",YEAR(A387)*100+MONTH(A387))</f>
        <v/>
      </c>
      <c r="J387" s="21">
        <f>IF(E387="Essencial",1,IF(E387="Dívidas",2,IF(E387="Importante",3,IF(E387="Quero",4,""))))</f>
        <v/>
      </c>
    </row>
    <row r="388">
      <c r="A388" s="19" t="n"/>
      <c r="C388" s="17" t="n"/>
      <c r="H388" s="20">
        <f>IF(OR(B388="",C388=""),0,IF(B388="Entrada",C388,-C388))</f>
        <v/>
      </c>
      <c r="I388" s="21">
        <f>IF(A388="","",YEAR(A388)*100+MONTH(A388))</f>
        <v/>
      </c>
      <c r="J388" s="21">
        <f>IF(E388="Essencial",1,IF(E388="Dívidas",2,IF(E388="Importante",3,IF(E388="Quero",4,""))))</f>
        <v/>
      </c>
    </row>
    <row r="389">
      <c r="A389" s="19" t="n"/>
      <c r="C389" s="17" t="n"/>
      <c r="H389" s="20">
        <f>IF(OR(B389="",C389=""),0,IF(B389="Entrada",C389,-C389))</f>
        <v/>
      </c>
      <c r="I389" s="21">
        <f>IF(A389="","",YEAR(A389)*100+MONTH(A389))</f>
        <v/>
      </c>
      <c r="J389" s="21">
        <f>IF(E389="Essencial",1,IF(E389="Dívidas",2,IF(E389="Importante",3,IF(E389="Quero",4,""))))</f>
        <v/>
      </c>
    </row>
    <row r="390">
      <c r="A390" s="19" t="n"/>
      <c r="C390" s="17" t="n"/>
      <c r="H390" s="20">
        <f>IF(OR(B390="",C390=""),0,IF(B390="Entrada",C390,-C390))</f>
        <v/>
      </c>
      <c r="I390" s="21">
        <f>IF(A390="","",YEAR(A390)*100+MONTH(A390))</f>
        <v/>
      </c>
      <c r="J390" s="21">
        <f>IF(E390="Essencial",1,IF(E390="Dívidas",2,IF(E390="Importante",3,IF(E390="Quero",4,""))))</f>
        <v/>
      </c>
    </row>
    <row r="391">
      <c r="A391" s="19" t="n"/>
      <c r="C391" s="17" t="n"/>
      <c r="H391" s="20">
        <f>IF(OR(B391="",C391=""),0,IF(B391="Entrada",C391,-C391))</f>
        <v/>
      </c>
      <c r="I391" s="21">
        <f>IF(A391="","",YEAR(A391)*100+MONTH(A391))</f>
        <v/>
      </c>
      <c r="J391" s="21">
        <f>IF(E391="Essencial",1,IF(E391="Dívidas",2,IF(E391="Importante",3,IF(E391="Quero",4,""))))</f>
        <v/>
      </c>
    </row>
    <row r="392">
      <c r="A392" s="19" t="n"/>
      <c r="C392" s="17" t="n"/>
      <c r="H392" s="20">
        <f>IF(OR(B392="",C392=""),0,IF(B392="Entrada",C392,-C392))</f>
        <v/>
      </c>
      <c r="I392" s="21">
        <f>IF(A392="","",YEAR(A392)*100+MONTH(A392))</f>
        <v/>
      </c>
      <c r="J392" s="21">
        <f>IF(E392="Essencial",1,IF(E392="Dívidas",2,IF(E392="Importante",3,IF(E392="Quero",4,""))))</f>
        <v/>
      </c>
    </row>
    <row r="393">
      <c r="A393" s="19" t="n"/>
      <c r="C393" s="17" t="n"/>
      <c r="H393" s="20">
        <f>IF(OR(B393="",C393=""),0,IF(B393="Entrada",C393,-C393))</f>
        <v/>
      </c>
      <c r="I393" s="21">
        <f>IF(A393="","",YEAR(A393)*100+MONTH(A393))</f>
        <v/>
      </c>
      <c r="J393" s="21">
        <f>IF(E393="Essencial",1,IF(E393="Dívidas",2,IF(E393="Importante",3,IF(E393="Quero",4,""))))</f>
        <v/>
      </c>
    </row>
    <row r="394">
      <c r="A394" s="19" t="n"/>
      <c r="C394" s="17" t="n"/>
      <c r="H394" s="20">
        <f>IF(OR(B394="",C394=""),0,IF(B394="Entrada",C394,-C394))</f>
        <v/>
      </c>
      <c r="I394" s="21">
        <f>IF(A394="","",YEAR(A394)*100+MONTH(A394))</f>
        <v/>
      </c>
      <c r="J394" s="21">
        <f>IF(E394="Essencial",1,IF(E394="Dívidas",2,IF(E394="Importante",3,IF(E394="Quero",4,""))))</f>
        <v/>
      </c>
    </row>
    <row r="395">
      <c r="A395" s="19" t="n"/>
      <c r="C395" s="17" t="n"/>
      <c r="H395" s="20">
        <f>IF(OR(B395="",C395=""),0,IF(B395="Entrada",C395,-C395))</f>
        <v/>
      </c>
      <c r="I395" s="21">
        <f>IF(A395="","",YEAR(A395)*100+MONTH(A395))</f>
        <v/>
      </c>
      <c r="J395" s="21">
        <f>IF(E395="Essencial",1,IF(E395="Dívidas",2,IF(E395="Importante",3,IF(E395="Quero",4,""))))</f>
        <v/>
      </c>
    </row>
    <row r="396">
      <c r="A396" s="19" t="n"/>
      <c r="C396" s="17" t="n"/>
      <c r="H396" s="20">
        <f>IF(OR(B396="",C396=""),0,IF(B396="Entrada",C396,-C396))</f>
        <v/>
      </c>
      <c r="I396" s="21">
        <f>IF(A396="","",YEAR(A396)*100+MONTH(A396))</f>
        <v/>
      </c>
      <c r="J396" s="21">
        <f>IF(E396="Essencial",1,IF(E396="Dívidas",2,IF(E396="Importante",3,IF(E396="Quero",4,""))))</f>
        <v/>
      </c>
    </row>
    <row r="397">
      <c r="A397" s="19" t="n"/>
      <c r="C397" s="17" t="n"/>
      <c r="H397" s="20">
        <f>IF(OR(B397="",C397=""),0,IF(B397="Entrada",C397,-C397))</f>
        <v/>
      </c>
      <c r="I397" s="21">
        <f>IF(A397="","",YEAR(A397)*100+MONTH(A397))</f>
        <v/>
      </c>
      <c r="J397" s="21">
        <f>IF(E397="Essencial",1,IF(E397="Dívidas",2,IF(E397="Importante",3,IF(E397="Quero",4,""))))</f>
        <v/>
      </c>
    </row>
    <row r="398">
      <c r="A398" s="19" t="n"/>
      <c r="C398" s="17" t="n"/>
      <c r="H398" s="20">
        <f>IF(OR(B398="",C398=""),0,IF(B398="Entrada",C398,-C398))</f>
        <v/>
      </c>
      <c r="I398" s="21">
        <f>IF(A398="","",YEAR(A398)*100+MONTH(A398))</f>
        <v/>
      </c>
      <c r="J398" s="21">
        <f>IF(E398="Essencial",1,IF(E398="Dívidas",2,IF(E398="Importante",3,IF(E398="Quero",4,""))))</f>
        <v/>
      </c>
    </row>
    <row r="399">
      <c r="A399" s="19" t="n"/>
      <c r="C399" s="17" t="n"/>
      <c r="H399" s="20">
        <f>IF(OR(B399="",C399=""),0,IF(B399="Entrada",C399,-C399))</f>
        <v/>
      </c>
      <c r="I399" s="21">
        <f>IF(A399="","",YEAR(A399)*100+MONTH(A399))</f>
        <v/>
      </c>
      <c r="J399" s="21">
        <f>IF(E399="Essencial",1,IF(E399="Dívidas",2,IF(E399="Importante",3,IF(E399="Quero",4,""))))</f>
        <v/>
      </c>
    </row>
    <row r="400">
      <c r="A400" s="19" t="n"/>
      <c r="C400" s="17" t="n"/>
      <c r="H400" s="20">
        <f>IF(OR(B400="",C400=""),0,IF(B400="Entrada",C400,-C400))</f>
        <v/>
      </c>
      <c r="I400" s="21">
        <f>IF(A400="","",YEAR(A400)*100+MONTH(A400))</f>
        <v/>
      </c>
      <c r="J400" s="21">
        <f>IF(E400="Essencial",1,IF(E400="Dívidas",2,IF(E400="Importante",3,IF(E400="Quero",4,""))))</f>
        <v/>
      </c>
    </row>
    <row r="401">
      <c r="A401" s="19" t="n"/>
      <c r="C401" s="17" t="n"/>
      <c r="H401" s="20">
        <f>IF(OR(B401="",C401=""),0,IF(B401="Entrada",C401,-C401))</f>
        <v/>
      </c>
      <c r="I401" s="21">
        <f>IF(A401="","",YEAR(A401)*100+MONTH(A401))</f>
        <v/>
      </c>
      <c r="J401" s="21">
        <f>IF(E401="Essencial",1,IF(E401="Dívidas",2,IF(E401="Importante",3,IF(E401="Quero",4,""))))</f>
        <v/>
      </c>
    </row>
    <row r="402">
      <c r="A402" s="19" t="n"/>
      <c r="C402" s="17" t="n"/>
      <c r="H402" s="20">
        <f>IF(OR(B402="",C402=""),0,IF(B402="Entrada",C402,-C402))</f>
        <v/>
      </c>
      <c r="I402" s="21">
        <f>IF(A402="","",YEAR(A402)*100+MONTH(A402))</f>
        <v/>
      </c>
      <c r="J402" s="21">
        <f>IF(E402="Essencial",1,IF(E402="Dívidas",2,IF(E402="Importante",3,IF(E402="Quero",4,""))))</f>
        <v/>
      </c>
    </row>
    <row r="403">
      <c r="A403" s="19" t="n"/>
      <c r="C403" s="17" t="n"/>
      <c r="H403" s="20">
        <f>IF(OR(B403="",C403=""),0,IF(B403="Entrada",C403,-C403))</f>
        <v/>
      </c>
      <c r="I403" s="21">
        <f>IF(A403="","",YEAR(A403)*100+MONTH(A403))</f>
        <v/>
      </c>
      <c r="J403" s="21">
        <f>IF(E403="Essencial",1,IF(E403="Dívidas",2,IF(E403="Importante",3,IF(E403="Quero",4,""))))</f>
        <v/>
      </c>
    </row>
    <row r="404">
      <c r="A404" s="19" t="n"/>
      <c r="C404" s="17" t="n"/>
      <c r="H404" s="20">
        <f>IF(OR(B404="",C404=""),0,IF(B404="Entrada",C404,-C404))</f>
        <v/>
      </c>
      <c r="I404" s="21">
        <f>IF(A404="","",YEAR(A404)*100+MONTH(A404))</f>
        <v/>
      </c>
      <c r="J404" s="21">
        <f>IF(E404="Essencial",1,IF(E404="Dívidas",2,IF(E404="Importante",3,IF(E404="Quero",4,""))))</f>
        <v/>
      </c>
    </row>
    <row r="405">
      <c r="A405" s="19" t="n"/>
      <c r="C405" s="17" t="n"/>
      <c r="H405" s="20">
        <f>IF(OR(B405="",C405=""),0,IF(B405="Entrada",C405,-C405))</f>
        <v/>
      </c>
      <c r="I405" s="21">
        <f>IF(A405="","",YEAR(A405)*100+MONTH(A405))</f>
        <v/>
      </c>
      <c r="J405" s="21">
        <f>IF(E405="Essencial",1,IF(E405="Dívidas",2,IF(E405="Importante",3,IF(E405="Quero",4,""))))</f>
        <v/>
      </c>
    </row>
    <row r="406">
      <c r="A406" s="19" t="n"/>
      <c r="C406" s="17" t="n"/>
      <c r="H406" s="20">
        <f>IF(OR(B406="",C406=""),0,IF(B406="Entrada",C406,-C406))</f>
        <v/>
      </c>
      <c r="I406" s="21">
        <f>IF(A406="","",YEAR(A406)*100+MONTH(A406))</f>
        <v/>
      </c>
      <c r="J406" s="21">
        <f>IF(E406="Essencial",1,IF(E406="Dívidas",2,IF(E406="Importante",3,IF(E406="Quero",4,""))))</f>
        <v/>
      </c>
    </row>
    <row r="407">
      <c r="A407" s="19" t="n"/>
      <c r="C407" s="17" t="n"/>
      <c r="H407" s="20">
        <f>IF(OR(B407="",C407=""),0,IF(B407="Entrada",C407,-C407))</f>
        <v/>
      </c>
      <c r="I407" s="21">
        <f>IF(A407="","",YEAR(A407)*100+MONTH(A407))</f>
        <v/>
      </c>
      <c r="J407" s="21">
        <f>IF(E407="Essencial",1,IF(E407="Dívidas",2,IF(E407="Importante",3,IF(E407="Quero",4,""))))</f>
        <v/>
      </c>
    </row>
    <row r="408">
      <c r="A408" s="19" t="n"/>
      <c r="C408" s="17" t="n"/>
      <c r="H408" s="20">
        <f>IF(OR(B408="",C408=""),0,IF(B408="Entrada",C408,-C408))</f>
        <v/>
      </c>
      <c r="I408" s="21">
        <f>IF(A408="","",YEAR(A408)*100+MONTH(A408))</f>
        <v/>
      </c>
      <c r="J408" s="21">
        <f>IF(E408="Essencial",1,IF(E408="Dívidas",2,IF(E408="Importante",3,IF(E408="Quero",4,""))))</f>
        <v/>
      </c>
    </row>
    <row r="409">
      <c r="A409" s="19" t="n"/>
      <c r="C409" s="17" t="n"/>
      <c r="H409" s="20">
        <f>IF(OR(B409="",C409=""),0,IF(B409="Entrada",C409,-C409))</f>
        <v/>
      </c>
      <c r="I409" s="21">
        <f>IF(A409="","",YEAR(A409)*100+MONTH(A409))</f>
        <v/>
      </c>
      <c r="J409" s="21">
        <f>IF(E409="Essencial",1,IF(E409="Dívidas",2,IF(E409="Importante",3,IF(E409="Quero",4,""))))</f>
        <v/>
      </c>
    </row>
    <row r="410">
      <c r="A410" s="19" t="n"/>
      <c r="C410" s="17" t="n"/>
      <c r="H410" s="20">
        <f>IF(OR(B410="",C410=""),0,IF(B410="Entrada",C410,-C410))</f>
        <v/>
      </c>
      <c r="I410" s="21">
        <f>IF(A410="","",YEAR(A410)*100+MONTH(A410))</f>
        <v/>
      </c>
      <c r="J410" s="21">
        <f>IF(E410="Essencial",1,IF(E410="Dívidas",2,IF(E410="Importante",3,IF(E410="Quero",4,""))))</f>
        <v/>
      </c>
    </row>
    <row r="411">
      <c r="A411" s="19" t="n"/>
      <c r="C411" s="17" t="n"/>
      <c r="H411" s="20">
        <f>IF(OR(B411="",C411=""),0,IF(B411="Entrada",C411,-C411))</f>
        <v/>
      </c>
      <c r="I411" s="21">
        <f>IF(A411="","",YEAR(A411)*100+MONTH(A411))</f>
        <v/>
      </c>
      <c r="J411" s="21">
        <f>IF(E411="Essencial",1,IF(E411="Dívidas",2,IF(E411="Importante",3,IF(E411="Quero",4,""))))</f>
        <v/>
      </c>
    </row>
    <row r="412">
      <c r="A412" s="19" t="n"/>
      <c r="C412" s="17" t="n"/>
      <c r="H412" s="20">
        <f>IF(OR(B412="",C412=""),0,IF(B412="Entrada",C412,-C412))</f>
        <v/>
      </c>
      <c r="I412" s="21">
        <f>IF(A412="","",YEAR(A412)*100+MONTH(A412))</f>
        <v/>
      </c>
      <c r="J412" s="21">
        <f>IF(E412="Essencial",1,IF(E412="Dívidas",2,IF(E412="Importante",3,IF(E412="Quero",4,""))))</f>
        <v/>
      </c>
    </row>
    <row r="413">
      <c r="A413" s="19" t="n"/>
      <c r="C413" s="17" t="n"/>
      <c r="H413" s="20">
        <f>IF(OR(B413="",C413=""),0,IF(B413="Entrada",C413,-C413))</f>
        <v/>
      </c>
      <c r="I413" s="21">
        <f>IF(A413="","",YEAR(A413)*100+MONTH(A413))</f>
        <v/>
      </c>
      <c r="J413" s="21">
        <f>IF(E413="Essencial",1,IF(E413="Dívidas",2,IF(E413="Importante",3,IF(E413="Quero",4,""))))</f>
        <v/>
      </c>
    </row>
    <row r="414">
      <c r="A414" s="19" t="n"/>
      <c r="C414" s="17" t="n"/>
      <c r="H414" s="20">
        <f>IF(OR(B414="",C414=""),0,IF(B414="Entrada",C414,-C414))</f>
        <v/>
      </c>
      <c r="I414" s="21">
        <f>IF(A414="","",YEAR(A414)*100+MONTH(A414))</f>
        <v/>
      </c>
      <c r="J414" s="21">
        <f>IF(E414="Essencial",1,IF(E414="Dívidas",2,IF(E414="Importante",3,IF(E414="Quero",4,""))))</f>
        <v/>
      </c>
    </row>
    <row r="415">
      <c r="A415" s="19" t="n"/>
      <c r="C415" s="17" t="n"/>
      <c r="H415" s="20">
        <f>IF(OR(B415="",C415=""),0,IF(B415="Entrada",C415,-C415))</f>
        <v/>
      </c>
      <c r="I415" s="21">
        <f>IF(A415="","",YEAR(A415)*100+MONTH(A415))</f>
        <v/>
      </c>
      <c r="J415" s="21">
        <f>IF(E415="Essencial",1,IF(E415="Dívidas",2,IF(E415="Importante",3,IF(E415="Quero",4,""))))</f>
        <v/>
      </c>
    </row>
    <row r="416">
      <c r="A416" s="19" t="n"/>
      <c r="C416" s="17" t="n"/>
      <c r="H416" s="20">
        <f>IF(OR(B416="",C416=""),0,IF(B416="Entrada",C416,-C416))</f>
        <v/>
      </c>
      <c r="I416" s="21">
        <f>IF(A416="","",YEAR(A416)*100+MONTH(A416))</f>
        <v/>
      </c>
      <c r="J416" s="21">
        <f>IF(E416="Essencial",1,IF(E416="Dívidas",2,IF(E416="Importante",3,IF(E416="Quero",4,""))))</f>
        <v/>
      </c>
    </row>
    <row r="417">
      <c r="A417" s="19" t="n"/>
      <c r="C417" s="17" t="n"/>
      <c r="H417" s="20">
        <f>IF(OR(B417="",C417=""),0,IF(B417="Entrada",C417,-C417))</f>
        <v/>
      </c>
      <c r="I417" s="21">
        <f>IF(A417="","",YEAR(A417)*100+MONTH(A417))</f>
        <v/>
      </c>
      <c r="J417" s="21">
        <f>IF(E417="Essencial",1,IF(E417="Dívidas",2,IF(E417="Importante",3,IF(E417="Quero",4,""))))</f>
        <v/>
      </c>
    </row>
    <row r="418">
      <c r="A418" s="19" t="n"/>
      <c r="C418" s="17" t="n"/>
      <c r="H418" s="20">
        <f>IF(OR(B418="",C418=""),0,IF(B418="Entrada",C418,-C418))</f>
        <v/>
      </c>
      <c r="I418" s="21">
        <f>IF(A418="","",YEAR(A418)*100+MONTH(A418))</f>
        <v/>
      </c>
      <c r="J418" s="21">
        <f>IF(E418="Essencial",1,IF(E418="Dívidas",2,IF(E418="Importante",3,IF(E418="Quero",4,""))))</f>
        <v/>
      </c>
    </row>
    <row r="419">
      <c r="A419" s="19" t="n"/>
      <c r="C419" s="17" t="n"/>
      <c r="H419" s="20">
        <f>IF(OR(B419="",C419=""),0,IF(B419="Entrada",C419,-C419))</f>
        <v/>
      </c>
      <c r="I419" s="21">
        <f>IF(A419="","",YEAR(A419)*100+MONTH(A419))</f>
        <v/>
      </c>
      <c r="J419" s="21">
        <f>IF(E419="Essencial",1,IF(E419="Dívidas",2,IF(E419="Importante",3,IF(E419="Quero",4,""))))</f>
        <v/>
      </c>
    </row>
    <row r="420">
      <c r="A420" s="19" t="n"/>
      <c r="C420" s="17" t="n"/>
      <c r="H420" s="20">
        <f>IF(OR(B420="",C420=""),0,IF(B420="Entrada",C420,-C420))</f>
        <v/>
      </c>
      <c r="I420" s="21">
        <f>IF(A420="","",YEAR(A420)*100+MONTH(A420))</f>
        <v/>
      </c>
      <c r="J420" s="21">
        <f>IF(E420="Essencial",1,IF(E420="Dívidas",2,IF(E420="Importante",3,IF(E420="Quero",4,""))))</f>
        <v/>
      </c>
    </row>
    <row r="421">
      <c r="A421" s="19" t="n"/>
      <c r="C421" s="17" t="n"/>
      <c r="H421" s="20">
        <f>IF(OR(B421="",C421=""),0,IF(B421="Entrada",C421,-C421))</f>
        <v/>
      </c>
      <c r="I421" s="21">
        <f>IF(A421="","",YEAR(A421)*100+MONTH(A421))</f>
        <v/>
      </c>
      <c r="J421" s="21">
        <f>IF(E421="Essencial",1,IF(E421="Dívidas",2,IF(E421="Importante",3,IF(E421="Quero",4,""))))</f>
        <v/>
      </c>
    </row>
    <row r="422">
      <c r="A422" s="19" t="n"/>
      <c r="C422" s="17" t="n"/>
      <c r="H422" s="20">
        <f>IF(OR(B422="",C422=""),0,IF(B422="Entrada",C422,-C422))</f>
        <v/>
      </c>
      <c r="I422" s="21">
        <f>IF(A422="","",YEAR(A422)*100+MONTH(A422))</f>
        <v/>
      </c>
      <c r="J422" s="21">
        <f>IF(E422="Essencial",1,IF(E422="Dívidas",2,IF(E422="Importante",3,IF(E422="Quero",4,""))))</f>
        <v/>
      </c>
    </row>
    <row r="423">
      <c r="A423" s="19" t="n"/>
      <c r="C423" s="17" t="n"/>
      <c r="H423" s="20">
        <f>IF(OR(B423="",C423=""),0,IF(B423="Entrada",C423,-C423))</f>
        <v/>
      </c>
      <c r="I423" s="21">
        <f>IF(A423="","",YEAR(A423)*100+MONTH(A423))</f>
        <v/>
      </c>
      <c r="J423" s="21">
        <f>IF(E423="Essencial",1,IF(E423="Dívidas",2,IF(E423="Importante",3,IF(E423="Quero",4,""))))</f>
        <v/>
      </c>
    </row>
    <row r="424">
      <c r="A424" s="19" t="n"/>
      <c r="C424" s="17" t="n"/>
      <c r="H424" s="20">
        <f>IF(OR(B424="",C424=""),0,IF(B424="Entrada",C424,-C424))</f>
        <v/>
      </c>
      <c r="I424" s="21">
        <f>IF(A424="","",YEAR(A424)*100+MONTH(A424))</f>
        <v/>
      </c>
      <c r="J424" s="21">
        <f>IF(E424="Essencial",1,IF(E424="Dívidas",2,IF(E424="Importante",3,IF(E424="Quero",4,""))))</f>
        <v/>
      </c>
    </row>
    <row r="425">
      <c r="A425" s="19" t="n"/>
      <c r="C425" s="17" t="n"/>
      <c r="H425" s="20">
        <f>IF(OR(B425="",C425=""),0,IF(B425="Entrada",C425,-C425))</f>
        <v/>
      </c>
      <c r="I425" s="21">
        <f>IF(A425="","",YEAR(A425)*100+MONTH(A425))</f>
        <v/>
      </c>
      <c r="J425" s="21">
        <f>IF(E425="Essencial",1,IF(E425="Dívidas",2,IF(E425="Importante",3,IF(E425="Quero",4,""))))</f>
        <v/>
      </c>
    </row>
    <row r="426">
      <c r="A426" s="19" t="n"/>
      <c r="C426" s="17" t="n"/>
      <c r="H426" s="20">
        <f>IF(OR(B426="",C426=""),0,IF(B426="Entrada",C426,-C426))</f>
        <v/>
      </c>
      <c r="I426" s="21">
        <f>IF(A426="","",YEAR(A426)*100+MONTH(A426))</f>
        <v/>
      </c>
      <c r="J426" s="21">
        <f>IF(E426="Essencial",1,IF(E426="Dívidas",2,IF(E426="Importante",3,IF(E426="Quero",4,""))))</f>
        <v/>
      </c>
    </row>
    <row r="427">
      <c r="A427" s="19" t="n"/>
      <c r="C427" s="17" t="n"/>
      <c r="H427" s="20">
        <f>IF(OR(B427="",C427=""),0,IF(B427="Entrada",C427,-C427))</f>
        <v/>
      </c>
      <c r="I427" s="21">
        <f>IF(A427="","",YEAR(A427)*100+MONTH(A427))</f>
        <v/>
      </c>
      <c r="J427" s="21">
        <f>IF(E427="Essencial",1,IF(E427="Dívidas",2,IF(E427="Importante",3,IF(E427="Quero",4,""))))</f>
        <v/>
      </c>
    </row>
    <row r="428">
      <c r="A428" s="19" t="n"/>
      <c r="C428" s="17" t="n"/>
      <c r="H428" s="20">
        <f>IF(OR(B428="",C428=""),0,IF(B428="Entrada",C428,-C428))</f>
        <v/>
      </c>
      <c r="I428" s="21">
        <f>IF(A428="","",YEAR(A428)*100+MONTH(A428))</f>
        <v/>
      </c>
      <c r="J428" s="21">
        <f>IF(E428="Essencial",1,IF(E428="Dívidas",2,IF(E428="Importante",3,IF(E428="Quero",4,""))))</f>
        <v/>
      </c>
    </row>
    <row r="429">
      <c r="A429" s="19" t="n"/>
      <c r="C429" s="17" t="n"/>
      <c r="H429" s="20">
        <f>IF(OR(B429="",C429=""),0,IF(B429="Entrada",C429,-C429))</f>
        <v/>
      </c>
      <c r="I429" s="21">
        <f>IF(A429="","",YEAR(A429)*100+MONTH(A429))</f>
        <v/>
      </c>
      <c r="J429" s="21">
        <f>IF(E429="Essencial",1,IF(E429="Dívidas",2,IF(E429="Importante",3,IF(E429="Quero",4,""))))</f>
        <v/>
      </c>
    </row>
    <row r="430">
      <c r="A430" s="19" t="n"/>
      <c r="C430" s="17" t="n"/>
      <c r="H430" s="20">
        <f>IF(OR(B430="",C430=""),0,IF(B430="Entrada",C430,-C430))</f>
        <v/>
      </c>
      <c r="I430" s="21">
        <f>IF(A430="","",YEAR(A430)*100+MONTH(A430))</f>
        <v/>
      </c>
      <c r="J430" s="21">
        <f>IF(E430="Essencial",1,IF(E430="Dívidas",2,IF(E430="Importante",3,IF(E430="Quero",4,""))))</f>
        <v/>
      </c>
    </row>
    <row r="431">
      <c r="A431" s="19" t="n"/>
      <c r="C431" s="17" t="n"/>
      <c r="H431" s="20">
        <f>IF(OR(B431="",C431=""),0,IF(B431="Entrada",C431,-C431))</f>
        <v/>
      </c>
      <c r="I431" s="21">
        <f>IF(A431="","",YEAR(A431)*100+MONTH(A431))</f>
        <v/>
      </c>
      <c r="J431" s="21">
        <f>IF(E431="Essencial",1,IF(E431="Dívidas",2,IF(E431="Importante",3,IF(E431="Quero",4,""))))</f>
        <v/>
      </c>
    </row>
    <row r="432">
      <c r="A432" s="19" t="n"/>
      <c r="C432" s="17" t="n"/>
      <c r="H432" s="20">
        <f>IF(OR(B432="",C432=""),0,IF(B432="Entrada",C432,-C432))</f>
        <v/>
      </c>
      <c r="I432" s="21">
        <f>IF(A432="","",YEAR(A432)*100+MONTH(A432))</f>
        <v/>
      </c>
      <c r="J432" s="21">
        <f>IF(E432="Essencial",1,IF(E432="Dívidas",2,IF(E432="Importante",3,IF(E432="Quero",4,""))))</f>
        <v/>
      </c>
    </row>
    <row r="433">
      <c r="A433" s="19" t="n"/>
      <c r="C433" s="17" t="n"/>
      <c r="H433" s="20">
        <f>IF(OR(B433="",C433=""),0,IF(B433="Entrada",C433,-C433))</f>
        <v/>
      </c>
      <c r="I433" s="21">
        <f>IF(A433="","",YEAR(A433)*100+MONTH(A433))</f>
        <v/>
      </c>
      <c r="J433" s="21">
        <f>IF(E433="Essencial",1,IF(E433="Dívidas",2,IF(E433="Importante",3,IF(E433="Quero",4,""))))</f>
        <v/>
      </c>
    </row>
    <row r="434">
      <c r="A434" s="19" t="n"/>
      <c r="C434" s="17" t="n"/>
      <c r="H434" s="20">
        <f>IF(OR(B434="",C434=""),0,IF(B434="Entrada",C434,-C434))</f>
        <v/>
      </c>
      <c r="I434" s="21">
        <f>IF(A434="","",YEAR(A434)*100+MONTH(A434))</f>
        <v/>
      </c>
      <c r="J434" s="21">
        <f>IF(E434="Essencial",1,IF(E434="Dívidas",2,IF(E434="Importante",3,IF(E434="Quero",4,""))))</f>
        <v/>
      </c>
    </row>
    <row r="435">
      <c r="A435" s="19" t="n"/>
      <c r="C435" s="17" t="n"/>
      <c r="H435" s="20">
        <f>IF(OR(B435="",C435=""),0,IF(B435="Entrada",C435,-C435))</f>
        <v/>
      </c>
      <c r="I435" s="21">
        <f>IF(A435="","",YEAR(A435)*100+MONTH(A435))</f>
        <v/>
      </c>
      <c r="J435" s="21">
        <f>IF(E435="Essencial",1,IF(E435="Dívidas",2,IF(E435="Importante",3,IF(E435="Quero",4,""))))</f>
        <v/>
      </c>
    </row>
    <row r="436">
      <c r="A436" s="19" t="n"/>
      <c r="C436" s="17" t="n"/>
      <c r="H436" s="20">
        <f>IF(OR(B436="",C436=""),0,IF(B436="Entrada",C436,-C436))</f>
        <v/>
      </c>
      <c r="I436" s="21">
        <f>IF(A436="","",YEAR(A436)*100+MONTH(A436))</f>
        <v/>
      </c>
      <c r="J436" s="21">
        <f>IF(E436="Essencial",1,IF(E436="Dívidas",2,IF(E436="Importante",3,IF(E436="Quero",4,""))))</f>
        <v/>
      </c>
    </row>
    <row r="437">
      <c r="A437" s="19" t="n"/>
      <c r="C437" s="17" t="n"/>
      <c r="H437" s="20">
        <f>IF(OR(B437="",C437=""),0,IF(B437="Entrada",C437,-C437))</f>
        <v/>
      </c>
      <c r="I437" s="21">
        <f>IF(A437="","",YEAR(A437)*100+MONTH(A437))</f>
        <v/>
      </c>
      <c r="J437" s="21">
        <f>IF(E437="Essencial",1,IF(E437="Dívidas",2,IF(E437="Importante",3,IF(E437="Quero",4,""))))</f>
        <v/>
      </c>
    </row>
    <row r="438">
      <c r="A438" s="19" t="n"/>
      <c r="C438" s="17" t="n"/>
      <c r="H438" s="20">
        <f>IF(OR(B438="",C438=""),0,IF(B438="Entrada",C438,-C438))</f>
        <v/>
      </c>
      <c r="I438" s="21">
        <f>IF(A438="","",YEAR(A438)*100+MONTH(A438))</f>
        <v/>
      </c>
      <c r="J438" s="21">
        <f>IF(E438="Essencial",1,IF(E438="Dívidas",2,IF(E438="Importante",3,IF(E438="Quero",4,""))))</f>
        <v/>
      </c>
    </row>
    <row r="439">
      <c r="A439" s="19" t="n"/>
      <c r="C439" s="17" t="n"/>
      <c r="H439" s="20">
        <f>IF(OR(B439="",C439=""),0,IF(B439="Entrada",C439,-C439))</f>
        <v/>
      </c>
      <c r="I439" s="21">
        <f>IF(A439="","",YEAR(A439)*100+MONTH(A439))</f>
        <v/>
      </c>
      <c r="J439" s="21">
        <f>IF(E439="Essencial",1,IF(E439="Dívidas",2,IF(E439="Importante",3,IF(E439="Quero",4,""))))</f>
        <v/>
      </c>
    </row>
    <row r="440">
      <c r="A440" s="19" t="n"/>
      <c r="C440" s="17" t="n"/>
      <c r="H440" s="20">
        <f>IF(OR(B440="",C440=""),0,IF(B440="Entrada",C440,-C440))</f>
        <v/>
      </c>
      <c r="I440" s="21">
        <f>IF(A440="","",YEAR(A440)*100+MONTH(A440))</f>
        <v/>
      </c>
      <c r="J440" s="21">
        <f>IF(E440="Essencial",1,IF(E440="Dívidas",2,IF(E440="Importante",3,IF(E440="Quero",4,""))))</f>
        <v/>
      </c>
    </row>
    <row r="441">
      <c r="A441" s="19" t="n"/>
      <c r="C441" s="17" t="n"/>
      <c r="H441" s="20">
        <f>IF(OR(B441="",C441=""),0,IF(B441="Entrada",C441,-C441))</f>
        <v/>
      </c>
      <c r="I441" s="21">
        <f>IF(A441="","",YEAR(A441)*100+MONTH(A441))</f>
        <v/>
      </c>
      <c r="J441" s="21">
        <f>IF(E441="Essencial",1,IF(E441="Dívidas",2,IF(E441="Importante",3,IF(E441="Quero",4,""))))</f>
        <v/>
      </c>
    </row>
    <row r="442">
      <c r="A442" s="19" t="n"/>
      <c r="C442" s="17" t="n"/>
      <c r="H442" s="20">
        <f>IF(OR(B442="",C442=""),0,IF(B442="Entrada",C442,-C442))</f>
        <v/>
      </c>
      <c r="I442" s="21">
        <f>IF(A442="","",YEAR(A442)*100+MONTH(A442))</f>
        <v/>
      </c>
      <c r="J442" s="21">
        <f>IF(E442="Essencial",1,IF(E442="Dívidas",2,IF(E442="Importante",3,IF(E442="Quero",4,""))))</f>
        <v/>
      </c>
    </row>
    <row r="443">
      <c r="A443" s="19" t="n"/>
      <c r="C443" s="17" t="n"/>
      <c r="H443" s="20">
        <f>IF(OR(B443="",C443=""),0,IF(B443="Entrada",C443,-C443))</f>
        <v/>
      </c>
      <c r="I443" s="21">
        <f>IF(A443="","",YEAR(A443)*100+MONTH(A443))</f>
        <v/>
      </c>
      <c r="J443" s="21">
        <f>IF(E443="Essencial",1,IF(E443="Dívidas",2,IF(E443="Importante",3,IF(E443="Quero",4,""))))</f>
        <v/>
      </c>
    </row>
    <row r="444">
      <c r="A444" s="19" t="n"/>
      <c r="C444" s="17" t="n"/>
      <c r="H444" s="20">
        <f>IF(OR(B444="",C444=""),0,IF(B444="Entrada",C444,-C444))</f>
        <v/>
      </c>
      <c r="I444" s="21">
        <f>IF(A444="","",YEAR(A444)*100+MONTH(A444))</f>
        <v/>
      </c>
      <c r="J444" s="21">
        <f>IF(E444="Essencial",1,IF(E444="Dívidas",2,IF(E444="Importante",3,IF(E444="Quero",4,""))))</f>
        <v/>
      </c>
    </row>
    <row r="445">
      <c r="A445" s="19" t="n"/>
      <c r="C445" s="17" t="n"/>
      <c r="H445" s="20">
        <f>IF(OR(B445="",C445=""),0,IF(B445="Entrada",C445,-C445))</f>
        <v/>
      </c>
      <c r="I445" s="21">
        <f>IF(A445="","",YEAR(A445)*100+MONTH(A445))</f>
        <v/>
      </c>
      <c r="J445" s="21">
        <f>IF(E445="Essencial",1,IF(E445="Dívidas",2,IF(E445="Importante",3,IF(E445="Quero",4,""))))</f>
        <v/>
      </c>
    </row>
    <row r="446">
      <c r="A446" s="19" t="n"/>
      <c r="C446" s="17" t="n"/>
      <c r="H446" s="20">
        <f>IF(OR(B446="",C446=""),0,IF(B446="Entrada",C446,-C446))</f>
        <v/>
      </c>
      <c r="I446" s="21">
        <f>IF(A446="","",YEAR(A446)*100+MONTH(A446))</f>
        <v/>
      </c>
      <c r="J446" s="21">
        <f>IF(E446="Essencial",1,IF(E446="Dívidas",2,IF(E446="Importante",3,IF(E446="Quero",4,""))))</f>
        <v/>
      </c>
    </row>
    <row r="447">
      <c r="A447" s="19" t="n"/>
      <c r="C447" s="17" t="n"/>
      <c r="H447" s="20">
        <f>IF(OR(B447="",C447=""),0,IF(B447="Entrada",C447,-C447))</f>
        <v/>
      </c>
      <c r="I447" s="21">
        <f>IF(A447="","",YEAR(A447)*100+MONTH(A447))</f>
        <v/>
      </c>
      <c r="J447" s="21">
        <f>IF(E447="Essencial",1,IF(E447="Dívidas",2,IF(E447="Importante",3,IF(E447="Quero",4,""))))</f>
        <v/>
      </c>
    </row>
    <row r="448">
      <c r="A448" s="19" t="n"/>
      <c r="C448" s="17" t="n"/>
      <c r="H448" s="20">
        <f>IF(OR(B448="",C448=""),0,IF(B448="Entrada",C448,-C448))</f>
        <v/>
      </c>
      <c r="I448" s="21">
        <f>IF(A448="","",YEAR(A448)*100+MONTH(A448))</f>
        <v/>
      </c>
      <c r="J448" s="21">
        <f>IF(E448="Essencial",1,IF(E448="Dívidas",2,IF(E448="Importante",3,IF(E448="Quero",4,""))))</f>
        <v/>
      </c>
    </row>
    <row r="449">
      <c r="A449" s="19" t="n"/>
      <c r="C449" s="17" t="n"/>
      <c r="H449" s="20">
        <f>IF(OR(B449="",C449=""),0,IF(B449="Entrada",C449,-C449))</f>
        <v/>
      </c>
      <c r="I449" s="21">
        <f>IF(A449="","",YEAR(A449)*100+MONTH(A449))</f>
        <v/>
      </c>
      <c r="J449" s="21">
        <f>IF(E449="Essencial",1,IF(E449="Dívidas",2,IF(E449="Importante",3,IF(E449="Quero",4,""))))</f>
        <v/>
      </c>
    </row>
    <row r="450">
      <c r="A450" s="19" t="n"/>
      <c r="C450" s="17" t="n"/>
      <c r="H450" s="20">
        <f>IF(OR(B450="",C450=""),0,IF(B450="Entrada",C450,-C450))</f>
        <v/>
      </c>
      <c r="I450" s="21">
        <f>IF(A450="","",YEAR(A450)*100+MONTH(A450))</f>
        <v/>
      </c>
      <c r="J450" s="21">
        <f>IF(E450="Essencial",1,IF(E450="Dívidas",2,IF(E450="Importante",3,IF(E450="Quero",4,""))))</f>
        <v/>
      </c>
    </row>
    <row r="451">
      <c r="A451" s="19" t="n"/>
      <c r="C451" s="17" t="n"/>
      <c r="H451" s="20">
        <f>IF(OR(B451="",C451=""),0,IF(B451="Entrada",C451,-C451))</f>
        <v/>
      </c>
      <c r="I451" s="21">
        <f>IF(A451="","",YEAR(A451)*100+MONTH(A451))</f>
        <v/>
      </c>
      <c r="J451" s="21">
        <f>IF(E451="Essencial",1,IF(E451="Dívidas",2,IF(E451="Importante",3,IF(E451="Quero",4,""))))</f>
        <v/>
      </c>
    </row>
    <row r="452">
      <c r="A452" s="19" t="n"/>
      <c r="C452" s="17" t="n"/>
      <c r="H452" s="20">
        <f>IF(OR(B452="",C452=""),0,IF(B452="Entrada",C452,-C452))</f>
        <v/>
      </c>
      <c r="I452" s="21">
        <f>IF(A452="","",YEAR(A452)*100+MONTH(A452))</f>
        <v/>
      </c>
      <c r="J452" s="21">
        <f>IF(E452="Essencial",1,IF(E452="Dívidas",2,IF(E452="Importante",3,IF(E452="Quero",4,""))))</f>
        <v/>
      </c>
    </row>
    <row r="453">
      <c r="A453" s="19" t="n"/>
      <c r="C453" s="17" t="n"/>
      <c r="H453" s="20">
        <f>IF(OR(B453="",C453=""),0,IF(B453="Entrada",C453,-C453))</f>
        <v/>
      </c>
      <c r="I453" s="21">
        <f>IF(A453="","",YEAR(A453)*100+MONTH(A453))</f>
        <v/>
      </c>
      <c r="J453" s="21">
        <f>IF(E453="Essencial",1,IF(E453="Dívidas",2,IF(E453="Importante",3,IF(E453="Quero",4,""))))</f>
        <v/>
      </c>
    </row>
    <row r="454">
      <c r="A454" s="19" t="n"/>
      <c r="C454" s="17" t="n"/>
      <c r="H454" s="20">
        <f>IF(OR(B454="",C454=""),0,IF(B454="Entrada",C454,-C454))</f>
        <v/>
      </c>
      <c r="I454" s="21">
        <f>IF(A454="","",YEAR(A454)*100+MONTH(A454))</f>
        <v/>
      </c>
      <c r="J454" s="21">
        <f>IF(E454="Essencial",1,IF(E454="Dívidas",2,IF(E454="Importante",3,IF(E454="Quero",4,""))))</f>
        <v/>
      </c>
    </row>
    <row r="455">
      <c r="A455" s="19" t="n"/>
      <c r="C455" s="17" t="n"/>
      <c r="H455" s="20">
        <f>IF(OR(B455="",C455=""),0,IF(B455="Entrada",C455,-C455))</f>
        <v/>
      </c>
      <c r="I455" s="21">
        <f>IF(A455="","",YEAR(A455)*100+MONTH(A455))</f>
        <v/>
      </c>
      <c r="J455" s="21">
        <f>IF(E455="Essencial",1,IF(E455="Dívidas",2,IF(E455="Importante",3,IF(E455="Quero",4,""))))</f>
        <v/>
      </c>
    </row>
    <row r="456">
      <c r="A456" s="19" t="n"/>
      <c r="C456" s="17" t="n"/>
      <c r="H456" s="20">
        <f>IF(OR(B456="",C456=""),0,IF(B456="Entrada",C456,-C456))</f>
        <v/>
      </c>
      <c r="I456" s="21">
        <f>IF(A456="","",YEAR(A456)*100+MONTH(A456))</f>
        <v/>
      </c>
      <c r="J456" s="21">
        <f>IF(E456="Essencial",1,IF(E456="Dívidas",2,IF(E456="Importante",3,IF(E456="Quero",4,""))))</f>
        <v/>
      </c>
    </row>
    <row r="457">
      <c r="A457" s="19" t="n"/>
      <c r="C457" s="17" t="n"/>
      <c r="H457" s="20">
        <f>IF(OR(B457="",C457=""),0,IF(B457="Entrada",C457,-C457))</f>
        <v/>
      </c>
      <c r="I457" s="21">
        <f>IF(A457="","",YEAR(A457)*100+MONTH(A457))</f>
        <v/>
      </c>
      <c r="J457" s="21">
        <f>IF(E457="Essencial",1,IF(E457="Dívidas",2,IF(E457="Importante",3,IF(E457="Quero",4,""))))</f>
        <v/>
      </c>
    </row>
    <row r="458">
      <c r="A458" s="19" t="n"/>
      <c r="C458" s="17" t="n"/>
      <c r="H458" s="20">
        <f>IF(OR(B458="",C458=""),0,IF(B458="Entrada",C458,-C458))</f>
        <v/>
      </c>
      <c r="I458" s="21">
        <f>IF(A458="","",YEAR(A458)*100+MONTH(A458))</f>
        <v/>
      </c>
      <c r="J458" s="21">
        <f>IF(E458="Essencial",1,IF(E458="Dívidas",2,IF(E458="Importante",3,IF(E458="Quero",4,""))))</f>
        <v/>
      </c>
    </row>
    <row r="459">
      <c r="A459" s="19" t="n"/>
      <c r="C459" s="17" t="n"/>
      <c r="H459" s="20">
        <f>IF(OR(B459="",C459=""),0,IF(B459="Entrada",C459,-C459))</f>
        <v/>
      </c>
      <c r="I459" s="21">
        <f>IF(A459="","",YEAR(A459)*100+MONTH(A459))</f>
        <v/>
      </c>
      <c r="J459" s="21">
        <f>IF(E459="Essencial",1,IF(E459="Dívidas",2,IF(E459="Importante",3,IF(E459="Quero",4,""))))</f>
        <v/>
      </c>
    </row>
    <row r="460">
      <c r="A460" s="19" t="n"/>
      <c r="C460" s="17" t="n"/>
      <c r="H460" s="20">
        <f>IF(OR(B460="",C460=""),0,IF(B460="Entrada",C460,-C460))</f>
        <v/>
      </c>
      <c r="I460" s="21">
        <f>IF(A460="","",YEAR(A460)*100+MONTH(A460))</f>
        <v/>
      </c>
      <c r="J460" s="21">
        <f>IF(E460="Essencial",1,IF(E460="Dívidas",2,IF(E460="Importante",3,IF(E460="Quero",4,""))))</f>
        <v/>
      </c>
    </row>
    <row r="461">
      <c r="A461" s="19" t="n"/>
      <c r="C461" s="17" t="n"/>
      <c r="H461" s="20">
        <f>IF(OR(B461="",C461=""),0,IF(B461="Entrada",C461,-C461))</f>
        <v/>
      </c>
      <c r="I461" s="21">
        <f>IF(A461="","",YEAR(A461)*100+MONTH(A461))</f>
        <v/>
      </c>
      <c r="J461" s="21">
        <f>IF(E461="Essencial",1,IF(E461="Dívidas",2,IF(E461="Importante",3,IF(E461="Quero",4,""))))</f>
        <v/>
      </c>
    </row>
    <row r="462">
      <c r="A462" s="19" t="n"/>
      <c r="C462" s="17" t="n"/>
      <c r="H462" s="20">
        <f>IF(OR(B462="",C462=""),0,IF(B462="Entrada",C462,-C462))</f>
        <v/>
      </c>
      <c r="I462" s="21">
        <f>IF(A462="","",YEAR(A462)*100+MONTH(A462))</f>
        <v/>
      </c>
      <c r="J462" s="21">
        <f>IF(E462="Essencial",1,IF(E462="Dívidas",2,IF(E462="Importante",3,IF(E462="Quero",4,""))))</f>
        <v/>
      </c>
    </row>
    <row r="463">
      <c r="A463" s="19" t="n"/>
      <c r="C463" s="17" t="n"/>
      <c r="H463" s="20">
        <f>IF(OR(B463="",C463=""),0,IF(B463="Entrada",C463,-C463))</f>
        <v/>
      </c>
      <c r="I463" s="21">
        <f>IF(A463="","",YEAR(A463)*100+MONTH(A463))</f>
        <v/>
      </c>
      <c r="J463" s="21">
        <f>IF(E463="Essencial",1,IF(E463="Dívidas",2,IF(E463="Importante",3,IF(E463="Quero",4,""))))</f>
        <v/>
      </c>
    </row>
    <row r="464">
      <c r="A464" s="19" t="n"/>
      <c r="C464" s="17" t="n"/>
      <c r="H464" s="20">
        <f>IF(OR(B464="",C464=""),0,IF(B464="Entrada",C464,-C464))</f>
        <v/>
      </c>
      <c r="I464" s="21">
        <f>IF(A464="","",YEAR(A464)*100+MONTH(A464))</f>
        <v/>
      </c>
      <c r="J464" s="21">
        <f>IF(E464="Essencial",1,IF(E464="Dívidas",2,IF(E464="Importante",3,IF(E464="Quero",4,""))))</f>
        <v/>
      </c>
    </row>
    <row r="465">
      <c r="A465" s="19" t="n"/>
      <c r="C465" s="17" t="n"/>
      <c r="H465" s="20">
        <f>IF(OR(B465="",C465=""),0,IF(B465="Entrada",C465,-C465))</f>
        <v/>
      </c>
      <c r="I465" s="21">
        <f>IF(A465="","",YEAR(A465)*100+MONTH(A465))</f>
        <v/>
      </c>
      <c r="J465" s="21">
        <f>IF(E465="Essencial",1,IF(E465="Dívidas",2,IF(E465="Importante",3,IF(E465="Quero",4,""))))</f>
        <v/>
      </c>
    </row>
    <row r="466">
      <c r="A466" s="19" t="n"/>
      <c r="C466" s="17" t="n"/>
      <c r="H466" s="20">
        <f>IF(OR(B466="",C466=""),0,IF(B466="Entrada",C466,-C466))</f>
        <v/>
      </c>
      <c r="I466" s="21">
        <f>IF(A466="","",YEAR(A466)*100+MONTH(A466))</f>
        <v/>
      </c>
      <c r="J466" s="21">
        <f>IF(E466="Essencial",1,IF(E466="Dívidas",2,IF(E466="Importante",3,IF(E466="Quero",4,""))))</f>
        <v/>
      </c>
    </row>
    <row r="467">
      <c r="A467" s="19" t="n"/>
      <c r="C467" s="17" t="n"/>
      <c r="H467" s="20">
        <f>IF(OR(B467="",C467=""),0,IF(B467="Entrada",C467,-C467))</f>
        <v/>
      </c>
      <c r="I467" s="21">
        <f>IF(A467="","",YEAR(A467)*100+MONTH(A467))</f>
        <v/>
      </c>
      <c r="J467" s="21">
        <f>IF(E467="Essencial",1,IF(E467="Dívidas",2,IF(E467="Importante",3,IF(E467="Quero",4,""))))</f>
        <v/>
      </c>
    </row>
    <row r="468">
      <c r="A468" s="19" t="n"/>
      <c r="C468" s="17" t="n"/>
      <c r="H468" s="20">
        <f>IF(OR(B468="",C468=""),0,IF(B468="Entrada",C468,-C468))</f>
        <v/>
      </c>
      <c r="I468" s="21">
        <f>IF(A468="","",YEAR(A468)*100+MONTH(A468))</f>
        <v/>
      </c>
      <c r="J468" s="21">
        <f>IF(E468="Essencial",1,IF(E468="Dívidas",2,IF(E468="Importante",3,IF(E468="Quero",4,""))))</f>
        <v/>
      </c>
    </row>
    <row r="469">
      <c r="A469" s="19" t="n"/>
      <c r="C469" s="17" t="n"/>
      <c r="H469" s="20">
        <f>IF(OR(B469="",C469=""),0,IF(B469="Entrada",C469,-C469))</f>
        <v/>
      </c>
      <c r="I469" s="21">
        <f>IF(A469="","",YEAR(A469)*100+MONTH(A469))</f>
        <v/>
      </c>
      <c r="J469" s="21">
        <f>IF(E469="Essencial",1,IF(E469="Dívidas",2,IF(E469="Importante",3,IF(E469="Quero",4,""))))</f>
        <v/>
      </c>
    </row>
    <row r="470">
      <c r="A470" s="19" t="n"/>
      <c r="C470" s="17" t="n"/>
      <c r="H470" s="20">
        <f>IF(OR(B470="",C470=""),0,IF(B470="Entrada",C470,-C470))</f>
        <v/>
      </c>
      <c r="I470" s="21">
        <f>IF(A470="","",YEAR(A470)*100+MONTH(A470))</f>
        <v/>
      </c>
      <c r="J470" s="21">
        <f>IF(E470="Essencial",1,IF(E470="Dívidas",2,IF(E470="Importante",3,IF(E470="Quero",4,""))))</f>
        <v/>
      </c>
    </row>
    <row r="471">
      <c r="A471" s="19" t="n"/>
      <c r="C471" s="17" t="n"/>
      <c r="H471" s="20">
        <f>IF(OR(B471="",C471=""),0,IF(B471="Entrada",C471,-C471))</f>
        <v/>
      </c>
      <c r="I471" s="21">
        <f>IF(A471="","",YEAR(A471)*100+MONTH(A471))</f>
        <v/>
      </c>
      <c r="J471" s="21">
        <f>IF(E471="Essencial",1,IF(E471="Dívidas",2,IF(E471="Importante",3,IF(E471="Quero",4,""))))</f>
        <v/>
      </c>
    </row>
    <row r="472">
      <c r="A472" s="19" t="n"/>
      <c r="C472" s="17" t="n"/>
      <c r="H472" s="20">
        <f>IF(OR(B472="",C472=""),0,IF(B472="Entrada",C472,-C472))</f>
        <v/>
      </c>
      <c r="I472" s="21">
        <f>IF(A472="","",YEAR(A472)*100+MONTH(A472))</f>
        <v/>
      </c>
      <c r="J472" s="21">
        <f>IF(E472="Essencial",1,IF(E472="Dívidas",2,IF(E472="Importante",3,IF(E472="Quero",4,""))))</f>
        <v/>
      </c>
    </row>
    <row r="473">
      <c r="A473" s="19" t="n"/>
      <c r="C473" s="17" t="n"/>
      <c r="H473" s="20">
        <f>IF(OR(B473="",C473=""),0,IF(B473="Entrada",C473,-C473))</f>
        <v/>
      </c>
      <c r="I473" s="21">
        <f>IF(A473="","",YEAR(A473)*100+MONTH(A473))</f>
        <v/>
      </c>
      <c r="J473" s="21">
        <f>IF(E473="Essencial",1,IF(E473="Dívidas",2,IF(E473="Importante",3,IF(E473="Quero",4,""))))</f>
        <v/>
      </c>
    </row>
    <row r="474">
      <c r="A474" s="19" t="n"/>
      <c r="C474" s="17" t="n"/>
      <c r="H474" s="20">
        <f>IF(OR(B474="",C474=""),0,IF(B474="Entrada",C474,-C474))</f>
        <v/>
      </c>
      <c r="I474" s="21">
        <f>IF(A474="","",YEAR(A474)*100+MONTH(A474))</f>
        <v/>
      </c>
      <c r="J474" s="21">
        <f>IF(E474="Essencial",1,IF(E474="Dívidas",2,IF(E474="Importante",3,IF(E474="Quero",4,""))))</f>
        <v/>
      </c>
    </row>
    <row r="475">
      <c r="A475" s="19" t="n"/>
      <c r="C475" s="17" t="n"/>
      <c r="H475" s="20">
        <f>IF(OR(B475="",C475=""),0,IF(B475="Entrada",C475,-C475))</f>
        <v/>
      </c>
      <c r="I475" s="21">
        <f>IF(A475="","",YEAR(A475)*100+MONTH(A475))</f>
        <v/>
      </c>
      <c r="J475" s="21">
        <f>IF(E475="Essencial",1,IF(E475="Dívidas",2,IF(E475="Importante",3,IF(E475="Quero",4,""))))</f>
        <v/>
      </c>
    </row>
    <row r="476">
      <c r="A476" s="19" t="n"/>
      <c r="C476" s="17" t="n"/>
      <c r="H476" s="20">
        <f>IF(OR(B476="",C476=""),0,IF(B476="Entrada",C476,-C476))</f>
        <v/>
      </c>
      <c r="I476" s="21">
        <f>IF(A476="","",YEAR(A476)*100+MONTH(A476))</f>
        <v/>
      </c>
      <c r="J476" s="21">
        <f>IF(E476="Essencial",1,IF(E476="Dívidas",2,IF(E476="Importante",3,IF(E476="Quero",4,""))))</f>
        <v/>
      </c>
    </row>
    <row r="477">
      <c r="A477" s="19" t="n"/>
      <c r="C477" s="17" t="n"/>
      <c r="H477" s="20">
        <f>IF(OR(B477="",C477=""),0,IF(B477="Entrada",C477,-C477))</f>
        <v/>
      </c>
      <c r="I477" s="21">
        <f>IF(A477="","",YEAR(A477)*100+MONTH(A477))</f>
        <v/>
      </c>
      <c r="J477" s="21">
        <f>IF(E477="Essencial",1,IF(E477="Dívidas",2,IF(E477="Importante",3,IF(E477="Quero",4,""))))</f>
        <v/>
      </c>
    </row>
    <row r="478">
      <c r="A478" s="19" t="n"/>
      <c r="C478" s="17" t="n"/>
      <c r="H478" s="20">
        <f>IF(OR(B478="",C478=""),0,IF(B478="Entrada",C478,-C478))</f>
        <v/>
      </c>
      <c r="I478" s="21">
        <f>IF(A478="","",YEAR(A478)*100+MONTH(A478))</f>
        <v/>
      </c>
      <c r="J478" s="21">
        <f>IF(E478="Essencial",1,IF(E478="Dívidas",2,IF(E478="Importante",3,IF(E478="Quero",4,""))))</f>
        <v/>
      </c>
    </row>
    <row r="479">
      <c r="A479" s="19" t="n"/>
      <c r="C479" s="17" t="n"/>
      <c r="H479" s="20">
        <f>IF(OR(B479="",C479=""),0,IF(B479="Entrada",C479,-C479))</f>
        <v/>
      </c>
      <c r="I479" s="21">
        <f>IF(A479="","",YEAR(A479)*100+MONTH(A479))</f>
        <v/>
      </c>
      <c r="J479" s="21">
        <f>IF(E479="Essencial",1,IF(E479="Dívidas",2,IF(E479="Importante",3,IF(E479="Quero",4,""))))</f>
        <v/>
      </c>
    </row>
    <row r="480">
      <c r="A480" s="19" t="n"/>
      <c r="C480" s="17" t="n"/>
      <c r="H480" s="20">
        <f>IF(OR(B480="",C480=""),0,IF(B480="Entrada",C480,-C480))</f>
        <v/>
      </c>
      <c r="I480" s="21">
        <f>IF(A480="","",YEAR(A480)*100+MONTH(A480))</f>
        <v/>
      </c>
      <c r="J480" s="21">
        <f>IF(E480="Essencial",1,IF(E480="Dívidas",2,IF(E480="Importante",3,IF(E480="Quero",4,""))))</f>
        <v/>
      </c>
    </row>
    <row r="481">
      <c r="A481" s="19" t="n"/>
      <c r="C481" s="17" t="n"/>
      <c r="H481" s="20">
        <f>IF(OR(B481="",C481=""),0,IF(B481="Entrada",C481,-C481))</f>
        <v/>
      </c>
      <c r="I481" s="21">
        <f>IF(A481="","",YEAR(A481)*100+MONTH(A481))</f>
        <v/>
      </c>
      <c r="J481" s="21">
        <f>IF(E481="Essencial",1,IF(E481="Dívidas",2,IF(E481="Importante",3,IF(E481="Quero",4,""))))</f>
        <v/>
      </c>
    </row>
    <row r="482">
      <c r="A482" s="19" t="n"/>
      <c r="C482" s="17" t="n"/>
      <c r="H482" s="20">
        <f>IF(OR(B482="",C482=""),0,IF(B482="Entrada",C482,-C482))</f>
        <v/>
      </c>
      <c r="I482" s="21">
        <f>IF(A482="","",YEAR(A482)*100+MONTH(A482))</f>
        <v/>
      </c>
      <c r="J482" s="21">
        <f>IF(E482="Essencial",1,IF(E482="Dívidas",2,IF(E482="Importante",3,IF(E482="Quero",4,""))))</f>
        <v/>
      </c>
    </row>
    <row r="483">
      <c r="A483" s="19" t="n"/>
      <c r="C483" s="17" t="n"/>
      <c r="H483" s="20">
        <f>IF(OR(B483="",C483=""),0,IF(B483="Entrada",C483,-C483))</f>
        <v/>
      </c>
      <c r="I483" s="21">
        <f>IF(A483="","",YEAR(A483)*100+MONTH(A483))</f>
        <v/>
      </c>
      <c r="J483" s="21">
        <f>IF(E483="Essencial",1,IF(E483="Dívidas",2,IF(E483="Importante",3,IF(E483="Quero",4,""))))</f>
        <v/>
      </c>
    </row>
    <row r="484">
      <c r="A484" s="19" t="n"/>
      <c r="C484" s="17" t="n"/>
      <c r="H484" s="20">
        <f>IF(OR(B484="",C484=""),0,IF(B484="Entrada",C484,-C484))</f>
        <v/>
      </c>
      <c r="I484" s="21">
        <f>IF(A484="","",YEAR(A484)*100+MONTH(A484))</f>
        <v/>
      </c>
      <c r="J484" s="21">
        <f>IF(E484="Essencial",1,IF(E484="Dívidas",2,IF(E484="Importante",3,IF(E484="Quero",4,""))))</f>
        <v/>
      </c>
    </row>
    <row r="485">
      <c r="A485" s="19" t="n"/>
      <c r="C485" s="17" t="n"/>
      <c r="H485" s="20">
        <f>IF(OR(B485="",C485=""),0,IF(B485="Entrada",C485,-C485))</f>
        <v/>
      </c>
      <c r="I485" s="21">
        <f>IF(A485="","",YEAR(A485)*100+MONTH(A485))</f>
        <v/>
      </c>
      <c r="J485" s="21">
        <f>IF(E485="Essencial",1,IF(E485="Dívidas",2,IF(E485="Importante",3,IF(E485="Quero",4,""))))</f>
        <v/>
      </c>
    </row>
    <row r="486">
      <c r="A486" s="19" t="n"/>
      <c r="C486" s="17" t="n"/>
      <c r="H486" s="20">
        <f>IF(OR(B486="",C486=""),0,IF(B486="Entrada",C486,-C486))</f>
        <v/>
      </c>
      <c r="I486" s="21">
        <f>IF(A486="","",YEAR(A486)*100+MONTH(A486))</f>
        <v/>
      </c>
      <c r="J486" s="21">
        <f>IF(E486="Essencial",1,IF(E486="Dívidas",2,IF(E486="Importante",3,IF(E486="Quero",4,""))))</f>
        <v/>
      </c>
    </row>
    <row r="487">
      <c r="A487" s="19" t="n"/>
      <c r="C487" s="17" t="n"/>
      <c r="H487" s="20">
        <f>IF(OR(B487="",C487=""),0,IF(B487="Entrada",C487,-C487))</f>
        <v/>
      </c>
      <c r="I487" s="21">
        <f>IF(A487="","",YEAR(A487)*100+MONTH(A487))</f>
        <v/>
      </c>
      <c r="J487" s="21">
        <f>IF(E487="Essencial",1,IF(E487="Dívidas",2,IF(E487="Importante",3,IF(E487="Quero",4,""))))</f>
        <v/>
      </c>
    </row>
    <row r="488">
      <c r="A488" s="19" t="n"/>
      <c r="C488" s="17" t="n"/>
      <c r="H488" s="20">
        <f>IF(OR(B488="",C488=""),0,IF(B488="Entrada",C488,-C488))</f>
        <v/>
      </c>
      <c r="I488" s="21">
        <f>IF(A488="","",YEAR(A488)*100+MONTH(A488))</f>
        <v/>
      </c>
      <c r="J488" s="21">
        <f>IF(E488="Essencial",1,IF(E488="Dívidas",2,IF(E488="Importante",3,IF(E488="Quero",4,""))))</f>
        <v/>
      </c>
    </row>
    <row r="489">
      <c r="A489" s="19" t="n"/>
      <c r="C489" s="17" t="n"/>
      <c r="H489" s="20">
        <f>IF(OR(B489="",C489=""),0,IF(B489="Entrada",C489,-C489))</f>
        <v/>
      </c>
      <c r="I489" s="21">
        <f>IF(A489="","",YEAR(A489)*100+MONTH(A489))</f>
        <v/>
      </c>
      <c r="J489" s="21">
        <f>IF(E489="Essencial",1,IF(E489="Dívidas",2,IF(E489="Importante",3,IF(E489="Quero",4,""))))</f>
        <v/>
      </c>
    </row>
    <row r="490">
      <c r="A490" s="19" t="n"/>
      <c r="C490" s="17" t="n"/>
      <c r="H490" s="20">
        <f>IF(OR(B490="",C490=""),0,IF(B490="Entrada",C490,-C490))</f>
        <v/>
      </c>
      <c r="I490" s="21">
        <f>IF(A490="","",YEAR(A490)*100+MONTH(A490))</f>
        <v/>
      </c>
      <c r="J490" s="21">
        <f>IF(E490="Essencial",1,IF(E490="Dívidas",2,IF(E490="Importante",3,IF(E490="Quero",4,""))))</f>
        <v/>
      </c>
    </row>
    <row r="491">
      <c r="A491" s="19" t="n"/>
      <c r="C491" s="17" t="n"/>
      <c r="H491" s="20">
        <f>IF(OR(B491="",C491=""),0,IF(B491="Entrada",C491,-C491))</f>
        <v/>
      </c>
      <c r="I491" s="21">
        <f>IF(A491="","",YEAR(A491)*100+MONTH(A491))</f>
        <v/>
      </c>
      <c r="J491" s="21">
        <f>IF(E491="Essencial",1,IF(E491="Dívidas",2,IF(E491="Importante",3,IF(E491="Quero",4,""))))</f>
        <v/>
      </c>
    </row>
    <row r="492">
      <c r="A492" s="19" t="n"/>
      <c r="C492" s="17" t="n"/>
      <c r="H492" s="20">
        <f>IF(OR(B492="",C492=""),0,IF(B492="Entrada",C492,-C492))</f>
        <v/>
      </c>
      <c r="I492" s="21">
        <f>IF(A492="","",YEAR(A492)*100+MONTH(A492))</f>
        <v/>
      </c>
      <c r="J492" s="21">
        <f>IF(E492="Essencial",1,IF(E492="Dívidas",2,IF(E492="Importante",3,IF(E492="Quero",4,""))))</f>
        <v/>
      </c>
    </row>
    <row r="493">
      <c r="A493" s="19" t="n"/>
      <c r="C493" s="17" t="n"/>
      <c r="H493" s="20">
        <f>IF(OR(B493="",C493=""),0,IF(B493="Entrada",C493,-C493))</f>
        <v/>
      </c>
      <c r="I493" s="21">
        <f>IF(A493="","",YEAR(A493)*100+MONTH(A493))</f>
        <v/>
      </c>
      <c r="J493" s="21">
        <f>IF(E493="Essencial",1,IF(E493="Dívidas",2,IF(E493="Importante",3,IF(E493="Quero",4,""))))</f>
        <v/>
      </c>
    </row>
    <row r="494">
      <c r="A494" s="19" t="n"/>
      <c r="C494" s="17" t="n"/>
      <c r="H494" s="20">
        <f>IF(OR(B494="",C494=""),0,IF(B494="Entrada",C494,-C494))</f>
        <v/>
      </c>
      <c r="I494" s="21">
        <f>IF(A494="","",YEAR(A494)*100+MONTH(A494))</f>
        <v/>
      </c>
      <c r="J494" s="21">
        <f>IF(E494="Essencial",1,IF(E494="Dívidas",2,IF(E494="Importante",3,IF(E494="Quero",4,""))))</f>
        <v/>
      </c>
    </row>
    <row r="495">
      <c r="A495" s="19" t="n"/>
      <c r="C495" s="17" t="n"/>
      <c r="H495" s="20">
        <f>IF(OR(B495="",C495=""),0,IF(B495="Entrada",C495,-C495))</f>
        <v/>
      </c>
      <c r="I495" s="21">
        <f>IF(A495="","",YEAR(A495)*100+MONTH(A495))</f>
        <v/>
      </c>
      <c r="J495" s="21">
        <f>IF(E495="Essencial",1,IF(E495="Dívidas",2,IF(E495="Importante",3,IF(E495="Quero",4,""))))</f>
        <v/>
      </c>
    </row>
    <row r="496">
      <c r="A496" s="19" t="n"/>
      <c r="C496" s="17" t="n"/>
      <c r="H496" s="20">
        <f>IF(OR(B496="",C496=""),0,IF(B496="Entrada",C496,-C496))</f>
        <v/>
      </c>
      <c r="I496" s="21">
        <f>IF(A496="","",YEAR(A496)*100+MONTH(A496))</f>
        <v/>
      </c>
      <c r="J496" s="21">
        <f>IF(E496="Essencial",1,IF(E496="Dívidas",2,IF(E496="Importante",3,IF(E496="Quero",4,""))))</f>
        <v/>
      </c>
    </row>
    <row r="497">
      <c r="A497" s="19" t="n"/>
      <c r="C497" s="17" t="n"/>
      <c r="H497" s="20">
        <f>IF(OR(B497="",C497=""),0,IF(B497="Entrada",C497,-C497))</f>
        <v/>
      </c>
      <c r="I497" s="21">
        <f>IF(A497="","",YEAR(A497)*100+MONTH(A497))</f>
        <v/>
      </c>
      <c r="J497" s="21">
        <f>IF(E497="Essencial",1,IF(E497="Dívidas",2,IF(E497="Importante",3,IF(E497="Quero",4,""))))</f>
        <v/>
      </c>
    </row>
    <row r="498">
      <c r="A498" s="19" t="n"/>
      <c r="C498" s="17" t="n"/>
      <c r="H498" s="20">
        <f>IF(OR(B498="",C498=""),0,IF(B498="Entrada",C498,-C498))</f>
        <v/>
      </c>
      <c r="I498" s="21">
        <f>IF(A498="","",YEAR(A498)*100+MONTH(A498))</f>
        <v/>
      </c>
      <c r="J498" s="21">
        <f>IF(E498="Essencial",1,IF(E498="Dívidas",2,IF(E498="Importante",3,IF(E498="Quero",4,""))))</f>
        <v/>
      </c>
    </row>
    <row r="499">
      <c r="A499" s="19" t="n"/>
      <c r="C499" s="17" t="n"/>
      <c r="H499" s="20">
        <f>IF(OR(B499="",C499=""),0,IF(B499="Entrada",C499,-C499))</f>
        <v/>
      </c>
      <c r="I499" s="21">
        <f>IF(A499="","",YEAR(A499)*100+MONTH(A499))</f>
        <v/>
      </c>
      <c r="J499" s="21">
        <f>IF(E499="Essencial",1,IF(E499="Dívidas",2,IF(E499="Importante",3,IF(E499="Quero",4,""))))</f>
        <v/>
      </c>
    </row>
    <row r="500">
      <c r="A500" s="19" t="n"/>
      <c r="C500" s="17" t="n"/>
      <c r="H500" s="20">
        <f>IF(OR(B500="",C500=""),0,IF(B500="Entrada",C500,-C500))</f>
        <v/>
      </c>
      <c r="I500" s="21">
        <f>IF(A500="","",YEAR(A500)*100+MONTH(A500))</f>
        <v/>
      </c>
      <c r="J500" s="21">
        <f>IF(E500="Essencial",1,IF(E500="Dívidas",2,IF(E500="Importante",3,IF(E500="Quero",4,""))))</f>
        <v/>
      </c>
    </row>
    <row r="501">
      <c r="A501" s="19" t="n"/>
      <c r="C501" s="17" t="n"/>
      <c r="H501" s="20">
        <f>IF(OR(B501="",C501=""),0,IF(B501="Entrada",C501,-C501))</f>
        <v/>
      </c>
      <c r="I501" s="21">
        <f>IF(A501="","",YEAR(A501)*100+MONTH(A501))</f>
        <v/>
      </c>
      <c r="J501" s="21">
        <f>IF(E501="Essencial",1,IF(E501="Dívidas",2,IF(E501="Importante",3,IF(E501="Quero",4,""))))</f>
        <v/>
      </c>
    </row>
    <row r="502">
      <c r="A502" s="19" t="n"/>
      <c r="C502" s="17" t="n"/>
      <c r="H502" s="20">
        <f>IF(OR(B502="",C502=""),0,IF(B502="Entrada",C502,-C502))</f>
        <v/>
      </c>
      <c r="I502" s="21">
        <f>IF(A502="","",YEAR(A502)*100+MONTH(A502))</f>
        <v/>
      </c>
      <c r="J502" s="21">
        <f>IF(E502="Essencial",1,IF(E502="Dívidas",2,IF(E502="Importante",3,IF(E502="Quero",4,""))))</f>
        <v/>
      </c>
    </row>
    <row r="503">
      <c r="A503" s="19" t="n"/>
      <c r="C503" s="17" t="n"/>
      <c r="H503" s="20">
        <f>IF(OR(B503="",C503=""),0,IF(B503="Entrada",C503,-C503))</f>
        <v/>
      </c>
      <c r="I503" s="21">
        <f>IF(A503="","",YEAR(A503)*100+MONTH(A503))</f>
        <v/>
      </c>
      <c r="J503" s="21">
        <f>IF(E503="Essencial",1,IF(E503="Dívidas",2,IF(E503="Importante",3,IF(E503="Quero",4,""))))</f>
        <v/>
      </c>
    </row>
    <row r="504">
      <c r="A504" s="19" t="n"/>
      <c r="C504" s="17" t="n"/>
      <c r="H504" s="20">
        <f>IF(OR(B504="",C504=""),0,IF(B504="Entrada",C504,-C504))</f>
        <v/>
      </c>
      <c r="I504" s="21">
        <f>IF(A504="","",YEAR(A504)*100+MONTH(A504))</f>
        <v/>
      </c>
      <c r="J504" s="21">
        <f>IF(E504="Essencial",1,IF(E504="Dívidas",2,IF(E504="Importante",3,IF(E504="Quero",4,""))))</f>
        <v/>
      </c>
    </row>
    <row r="505">
      <c r="A505" s="19" t="n"/>
      <c r="C505" s="17" t="n"/>
      <c r="H505" s="20">
        <f>IF(OR(B505="",C505=""),0,IF(B505="Entrada",C505,-C505))</f>
        <v/>
      </c>
      <c r="I505" s="21">
        <f>IF(A505="","",YEAR(A505)*100+MONTH(A505))</f>
        <v/>
      </c>
      <c r="J505" s="21">
        <f>IF(E505="Essencial",1,IF(E505="Dívidas",2,IF(E505="Importante",3,IF(E505="Quero",4,""))))</f>
        <v/>
      </c>
    </row>
    <row r="506">
      <c r="A506" s="19" t="n"/>
      <c r="C506" s="17" t="n"/>
      <c r="H506" s="20">
        <f>IF(OR(B506="",C506=""),0,IF(B506="Entrada",C506,-C506))</f>
        <v/>
      </c>
      <c r="I506" s="21">
        <f>IF(A506="","",YEAR(A506)*100+MONTH(A506))</f>
        <v/>
      </c>
      <c r="J506" s="21">
        <f>IF(E506="Essencial",1,IF(E506="Dívidas",2,IF(E506="Importante",3,IF(E506="Quero",4,""))))</f>
        <v/>
      </c>
    </row>
    <row r="507">
      <c r="A507" s="19" t="n"/>
      <c r="C507" s="17" t="n"/>
      <c r="H507" s="20">
        <f>IF(OR(B507="",C507=""),0,IF(B507="Entrada",C507,-C507))</f>
        <v/>
      </c>
      <c r="I507" s="21">
        <f>IF(A507="","",YEAR(A507)*100+MONTH(A507))</f>
        <v/>
      </c>
      <c r="J507" s="21">
        <f>IF(E507="Essencial",1,IF(E507="Dívidas",2,IF(E507="Importante",3,IF(E507="Quero",4,""))))</f>
        <v/>
      </c>
    </row>
    <row r="508">
      <c r="A508" s="19" t="n"/>
      <c r="C508" s="17" t="n"/>
      <c r="H508" s="20">
        <f>IF(OR(B508="",C508=""),0,IF(B508="Entrada",C508,-C508))</f>
        <v/>
      </c>
      <c r="I508" s="21">
        <f>IF(A508="","",YEAR(A508)*100+MONTH(A508))</f>
        <v/>
      </c>
      <c r="J508" s="21">
        <f>IF(E508="Essencial",1,IF(E508="Dívidas",2,IF(E508="Importante",3,IF(E508="Quero",4,""))))</f>
        <v/>
      </c>
    </row>
    <row r="509">
      <c r="A509" s="19" t="n"/>
      <c r="C509" s="17" t="n"/>
      <c r="H509" s="20">
        <f>IF(OR(B509="",C509=""),0,IF(B509="Entrada",C509,-C509))</f>
        <v/>
      </c>
      <c r="I509" s="21">
        <f>IF(A509="","",YEAR(A509)*100+MONTH(A509))</f>
        <v/>
      </c>
      <c r="J509" s="21">
        <f>IF(E509="Essencial",1,IF(E509="Dívidas",2,IF(E509="Importante",3,IF(E509="Quero",4,""))))</f>
        <v/>
      </c>
    </row>
    <row r="510">
      <c r="A510" s="19" t="n"/>
      <c r="C510" s="17" t="n"/>
      <c r="H510" s="20">
        <f>IF(OR(B510="",C510=""),0,IF(B510="Entrada",C510,-C510))</f>
        <v/>
      </c>
      <c r="I510" s="21">
        <f>IF(A510="","",YEAR(A510)*100+MONTH(A510))</f>
        <v/>
      </c>
      <c r="J510" s="21">
        <f>IF(E510="Essencial",1,IF(E510="Dívidas",2,IF(E510="Importante",3,IF(E510="Quero",4,""))))</f>
        <v/>
      </c>
    </row>
    <row r="511">
      <c r="A511" s="19" t="n"/>
      <c r="C511" s="17" t="n"/>
      <c r="H511" s="20">
        <f>IF(OR(B511="",C511=""),0,IF(B511="Entrada",C511,-C511))</f>
        <v/>
      </c>
      <c r="I511" s="21">
        <f>IF(A511="","",YEAR(A511)*100+MONTH(A511))</f>
        <v/>
      </c>
      <c r="J511" s="21">
        <f>IF(E511="Essencial",1,IF(E511="Dívidas",2,IF(E511="Importante",3,IF(E511="Quero",4,""))))</f>
        <v/>
      </c>
    </row>
    <row r="512">
      <c r="A512" s="19" t="n"/>
      <c r="C512" s="17" t="n"/>
      <c r="H512" s="20">
        <f>IF(OR(B512="",C512=""),0,IF(B512="Entrada",C512,-C512))</f>
        <v/>
      </c>
      <c r="I512" s="21">
        <f>IF(A512="","",YEAR(A512)*100+MONTH(A512))</f>
        <v/>
      </c>
      <c r="J512" s="21">
        <f>IF(E512="Essencial",1,IF(E512="Dívidas",2,IF(E512="Importante",3,IF(E512="Quero",4,""))))</f>
        <v/>
      </c>
    </row>
    <row r="513">
      <c r="A513" s="19" t="n"/>
      <c r="C513" s="17" t="n"/>
      <c r="H513" s="20">
        <f>IF(OR(B513="",C513=""),0,IF(B513="Entrada",C513,-C513))</f>
        <v/>
      </c>
      <c r="I513" s="21">
        <f>IF(A513="","",YEAR(A513)*100+MONTH(A513))</f>
        <v/>
      </c>
      <c r="J513" s="21">
        <f>IF(E513="Essencial",1,IF(E513="Dívidas",2,IF(E513="Importante",3,IF(E513="Quero",4,""))))</f>
        <v/>
      </c>
    </row>
    <row r="514">
      <c r="A514" s="19" t="n"/>
      <c r="C514" s="17" t="n"/>
      <c r="H514" s="20">
        <f>IF(OR(B514="",C514=""),0,IF(B514="Entrada",C514,-C514))</f>
        <v/>
      </c>
      <c r="I514" s="21">
        <f>IF(A514="","",YEAR(A514)*100+MONTH(A514))</f>
        <v/>
      </c>
      <c r="J514" s="21">
        <f>IF(E514="Essencial",1,IF(E514="Dívidas",2,IF(E514="Importante",3,IF(E514="Quero",4,""))))</f>
        <v/>
      </c>
    </row>
    <row r="515">
      <c r="A515" s="19" t="n"/>
      <c r="C515" s="17" t="n"/>
      <c r="H515" s="20">
        <f>IF(OR(B515="",C515=""),0,IF(B515="Entrada",C515,-C515))</f>
        <v/>
      </c>
      <c r="I515" s="21">
        <f>IF(A515="","",YEAR(A515)*100+MONTH(A515))</f>
        <v/>
      </c>
      <c r="J515" s="21">
        <f>IF(E515="Essencial",1,IF(E515="Dívidas",2,IF(E515="Importante",3,IF(E515="Quero",4,""))))</f>
        <v/>
      </c>
    </row>
    <row r="516">
      <c r="A516" s="19" t="n"/>
      <c r="C516" s="17" t="n"/>
      <c r="H516" s="20">
        <f>IF(OR(B516="",C516=""),0,IF(B516="Entrada",C516,-C516))</f>
        <v/>
      </c>
      <c r="I516" s="21">
        <f>IF(A516="","",YEAR(A516)*100+MONTH(A516))</f>
        <v/>
      </c>
      <c r="J516" s="21">
        <f>IF(E516="Essencial",1,IF(E516="Dívidas",2,IF(E516="Importante",3,IF(E516="Quero",4,""))))</f>
        <v/>
      </c>
    </row>
    <row r="517">
      <c r="A517" s="19" t="n"/>
      <c r="C517" s="17" t="n"/>
      <c r="H517" s="20">
        <f>IF(OR(B517="",C517=""),0,IF(B517="Entrada",C517,-C517))</f>
        <v/>
      </c>
      <c r="I517" s="21">
        <f>IF(A517="","",YEAR(A517)*100+MONTH(A517))</f>
        <v/>
      </c>
      <c r="J517" s="21">
        <f>IF(E517="Essencial",1,IF(E517="Dívidas",2,IF(E517="Importante",3,IF(E517="Quero",4,""))))</f>
        <v/>
      </c>
    </row>
    <row r="518">
      <c r="A518" s="19" t="n"/>
      <c r="C518" s="17" t="n"/>
      <c r="H518" s="20">
        <f>IF(OR(B518="",C518=""),0,IF(B518="Entrada",C518,-C518))</f>
        <v/>
      </c>
      <c r="I518" s="21">
        <f>IF(A518="","",YEAR(A518)*100+MONTH(A518))</f>
        <v/>
      </c>
      <c r="J518" s="21">
        <f>IF(E518="Essencial",1,IF(E518="Dívidas",2,IF(E518="Importante",3,IF(E518="Quero",4,""))))</f>
        <v/>
      </c>
    </row>
    <row r="519">
      <c r="A519" s="19" t="n"/>
      <c r="C519" s="17" t="n"/>
      <c r="H519" s="20">
        <f>IF(OR(B519="",C519=""),0,IF(B519="Entrada",C519,-C519))</f>
        <v/>
      </c>
      <c r="I519" s="21">
        <f>IF(A519="","",YEAR(A519)*100+MONTH(A519))</f>
        <v/>
      </c>
      <c r="J519" s="21">
        <f>IF(E519="Essencial",1,IF(E519="Dívidas",2,IF(E519="Importante",3,IF(E519="Quero",4,""))))</f>
        <v/>
      </c>
    </row>
    <row r="520">
      <c r="A520" s="19" t="n"/>
      <c r="C520" s="17" t="n"/>
      <c r="H520" s="20">
        <f>IF(OR(B520="",C520=""),0,IF(B520="Entrada",C520,-C520))</f>
        <v/>
      </c>
      <c r="I520" s="21">
        <f>IF(A520="","",YEAR(A520)*100+MONTH(A520))</f>
        <v/>
      </c>
      <c r="J520" s="21">
        <f>IF(E520="Essencial",1,IF(E520="Dívidas",2,IF(E520="Importante",3,IF(E520="Quero",4,""))))</f>
        <v/>
      </c>
    </row>
    <row r="521">
      <c r="A521" s="19" t="n"/>
      <c r="C521" s="17" t="n"/>
      <c r="H521" s="20">
        <f>IF(OR(B521="",C521=""),0,IF(B521="Entrada",C521,-C521))</f>
        <v/>
      </c>
      <c r="I521" s="21">
        <f>IF(A521="","",YEAR(A521)*100+MONTH(A521))</f>
        <v/>
      </c>
      <c r="J521" s="21">
        <f>IF(E521="Essencial",1,IF(E521="Dívidas",2,IF(E521="Importante",3,IF(E521="Quero",4,""))))</f>
        <v/>
      </c>
    </row>
    <row r="522">
      <c r="A522" s="19" t="n"/>
      <c r="C522" s="17" t="n"/>
      <c r="H522" s="20">
        <f>IF(OR(B522="",C522=""),0,IF(B522="Entrada",C522,-C522))</f>
        <v/>
      </c>
      <c r="I522" s="21">
        <f>IF(A522="","",YEAR(A522)*100+MONTH(A522))</f>
        <v/>
      </c>
      <c r="J522" s="21">
        <f>IF(E522="Essencial",1,IF(E522="Dívidas",2,IF(E522="Importante",3,IF(E522="Quero",4,""))))</f>
        <v/>
      </c>
    </row>
    <row r="523">
      <c r="A523" s="19" t="n"/>
      <c r="C523" s="17" t="n"/>
      <c r="H523" s="20">
        <f>IF(OR(B523="",C523=""),0,IF(B523="Entrada",C523,-C523))</f>
        <v/>
      </c>
      <c r="I523" s="21">
        <f>IF(A523="","",YEAR(A523)*100+MONTH(A523))</f>
        <v/>
      </c>
      <c r="J523" s="21">
        <f>IF(E523="Essencial",1,IF(E523="Dívidas",2,IF(E523="Importante",3,IF(E523="Quero",4,""))))</f>
        <v/>
      </c>
    </row>
    <row r="524">
      <c r="A524" s="19" t="n"/>
      <c r="C524" s="17" t="n"/>
      <c r="H524" s="20">
        <f>IF(OR(B524="",C524=""),0,IF(B524="Entrada",C524,-C524))</f>
        <v/>
      </c>
      <c r="I524" s="21">
        <f>IF(A524="","",YEAR(A524)*100+MONTH(A524))</f>
        <v/>
      </c>
      <c r="J524" s="21">
        <f>IF(E524="Essencial",1,IF(E524="Dívidas",2,IF(E524="Importante",3,IF(E524="Quero",4,""))))</f>
        <v/>
      </c>
    </row>
    <row r="525">
      <c r="A525" s="19" t="n"/>
      <c r="C525" s="17" t="n"/>
      <c r="H525" s="20">
        <f>IF(OR(B525="",C525=""),0,IF(B525="Entrada",C525,-C525))</f>
        <v/>
      </c>
      <c r="I525" s="21">
        <f>IF(A525="","",YEAR(A525)*100+MONTH(A525))</f>
        <v/>
      </c>
      <c r="J525" s="21">
        <f>IF(E525="Essencial",1,IF(E525="Dívidas",2,IF(E525="Importante",3,IF(E525="Quero",4,""))))</f>
        <v/>
      </c>
    </row>
    <row r="526">
      <c r="A526" s="19" t="n"/>
      <c r="C526" s="17" t="n"/>
      <c r="H526" s="20">
        <f>IF(OR(B526="",C526=""),0,IF(B526="Entrada",C526,-C526))</f>
        <v/>
      </c>
      <c r="I526" s="21">
        <f>IF(A526="","",YEAR(A526)*100+MONTH(A526))</f>
        <v/>
      </c>
      <c r="J526" s="21">
        <f>IF(E526="Essencial",1,IF(E526="Dívidas",2,IF(E526="Importante",3,IF(E526="Quero",4,""))))</f>
        <v/>
      </c>
    </row>
    <row r="527">
      <c r="A527" s="19" t="n"/>
      <c r="C527" s="17" t="n"/>
      <c r="H527" s="20">
        <f>IF(OR(B527="",C527=""),0,IF(B527="Entrada",C527,-C527))</f>
        <v/>
      </c>
      <c r="I527" s="21">
        <f>IF(A527="","",YEAR(A527)*100+MONTH(A527))</f>
        <v/>
      </c>
      <c r="J527" s="21">
        <f>IF(E527="Essencial",1,IF(E527="Dívidas",2,IF(E527="Importante",3,IF(E527="Quero",4,""))))</f>
        <v/>
      </c>
    </row>
    <row r="528">
      <c r="A528" s="19" t="n"/>
      <c r="C528" s="17" t="n"/>
      <c r="H528" s="20">
        <f>IF(OR(B528="",C528=""),0,IF(B528="Entrada",C528,-C528))</f>
        <v/>
      </c>
      <c r="I528" s="21">
        <f>IF(A528="","",YEAR(A528)*100+MONTH(A528))</f>
        <v/>
      </c>
      <c r="J528" s="21">
        <f>IF(E528="Essencial",1,IF(E528="Dívidas",2,IF(E528="Importante",3,IF(E528="Quero",4,""))))</f>
        <v/>
      </c>
    </row>
    <row r="529">
      <c r="A529" s="19" t="n"/>
      <c r="C529" s="17" t="n"/>
      <c r="H529" s="20">
        <f>IF(OR(B529="",C529=""),0,IF(B529="Entrada",C529,-C529))</f>
        <v/>
      </c>
      <c r="I529" s="21">
        <f>IF(A529="","",YEAR(A529)*100+MONTH(A529))</f>
        <v/>
      </c>
      <c r="J529" s="21">
        <f>IF(E529="Essencial",1,IF(E529="Dívidas",2,IF(E529="Importante",3,IF(E529="Quero",4,""))))</f>
        <v/>
      </c>
    </row>
    <row r="530">
      <c r="A530" s="19" t="n"/>
      <c r="C530" s="17" t="n"/>
      <c r="H530" s="20">
        <f>IF(OR(B530="",C530=""),0,IF(B530="Entrada",C530,-C530))</f>
        <v/>
      </c>
      <c r="I530" s="21">
        <f>IF(A530="","",YEAR(A530)*100+MONTH(A530))</f>
        <v/>
      </c>
      <c r="J530" s="21">
        <f>IF(E530="Essencial",1,IF(E530="Dívidas",2,IF(E530="Importante",3,IF(E530="Quero",4,""))))</f>
        <v/>
      </c>
    </row>
    <row r="531">
      <c r="A531" s="19" t="n"/>
      <c r="C531" s="17" t="n"/>
      <c r="H531" s="20">
        <f>IF(OR(B531="",C531=""),0,IF(B531="Entrada",C531,-C531))</f>
        <v/>
      </c>
      <c r="I531" s="21">
        <f>IF(A531="","",YEAR(A531)*100+MONTH(A531))</f>
        <v/>
      </c>
      <c r="J531" s="21">
        <f>IF(E531="Essencial",1,IF(E531="Dívidas",2,IF(E531="Importante",3,IF(E531="Quero",4,""))))</f>
        <v/>
      </c>
    </row>
    <row r="532">
      <c r="A532" s="19" t="n"/>
      <c r="C532" s="17" t="n"/>
      <c r="H532" s="20">
        <f>IF(OR(B532="",C532=""),0,IF(B532="Entrada",C532,-C532))</f>
        <v/>
      </c>
      <c r="I532" s="21">
        <f>IF(A532="","",YEAR(A532)*100+MONTH(A532))</f>
        <v/>
      </c>
      <c r="J532" s="21">
        <f>IF(E532="Essencial",1,IF(E532="Dívidas",2,IF(E532="Importante",3,IF(E532="Quero",4,""))))</f>
        <v/>
      </c>
    </row>
    <row r="533">
      <c r="A533" s="19" t="n"/>
      <c r="C533" s="17" t="n"/>
      <c r="H533" s="20">
        <f>IF(OR(B533="",C533=""),0,IF(B533="Entrada",C533,-C533))</f>
        <v/>
      </c>
      <c r="I533" s="21">
        <f>IF(A533="","",YEAR(A533)*100+MONTH(A533))</f>
        <v/>
      </c>
      <c r="J533" s="21">
        <f>IF(E533="Essencial",1,IF(E533="Dívidas",2,IF(E533="Importante",3,IF(E533="Quero",4,""))))</f>
        <v/>
      </c>
    </row>
    <row r="534">
      <c r="A534" s="19" t="n"/>
      <c r="C534" s="17" t="n"/>
      <c r="H534" s="20">
        <f>IF(OR(B534="",C534=""),0,IF(B534="Entrada",C534,-C534))</f>
        <v/>
      </c>
      <c r="I534" s="21">
        <f>IF(A534="","",YEAR(A534)*100+MONTH(A534))</f>
        <v/>
      </c>
      <c r="J534" s="21">
        <f>IF(E534="Essencial",1,IF(E534="Dívidas",2,IF(E534="Importante",3,IF(E534="Quero",4,""))))</f>
        <v/>
      </c>
    </row>
    <row r="535">
      <c r="A535" s="19" t="n"/>
      <c r="C535" s="17" t="n"/>
      <c r="H535" s="20">
        <f>IF(OR(B535="",C535=""),0,IF(B535="Entrada",C535,-C535))</f>
        <v/>
      </c>
      <c r="I535" s="21">
        <f>IF(A535="","",YEAR(A535)*100+MONTH(A535))</f>
        <v/>
      </c>
      <c r="J535" s="21">
        <f>IF(E535="Essencial",1,IF(E535="Dívidas",2,IF(E535="Importante",3,IF(E535="Quero",4,""))))</f>
        <v/>
      </c>
    </row>
    <row r="536">
      <c r="A536" s="19" t="n"/>
      <c r="C536" s="17" t="n"/>
      <c r="H536" s="20">
        <f>IF(OR(B536="",C536=""),0,IF(B536="Entrada",C536,-C536))</f>
        <v/>
      </c>
      <c r="I536" s="21">
        <f>IF(A536="","",YEAR(A536)*100+MONTH(A536))</f>
        <v/>
      </c>
      <c r="J536" s="21">
        <f>IF(E536="Essencial",1,IF(E536="Dívidas",2,IF(E536="Importante",3,IF(E536="Quero",4,""))))</f>
        <v/>
      </c>
    </row>
    <row r="537">
      <c r="A537" s="19" t="n"/>
      <c r="C537" s="17" t="n"/>
      <c r="H537" s="20">
        <f>IF(OR(B537="",C537=""),0,IF(B537="Entrada",C537,-C537))</f>
        <v/>
      </c>
      <c r="I537" s="21">
        <f>IF(A537="","",YEAR(A537)*100+MONTH(A537))</f>
        <v/>
      </c>
      <c r="J537" s="21">
        <f>IF(E537="Essencial",1,IF(E537="Dívidas",2,IF(E537="Importante",3,IF(E537="Quero",4,""))))</f>
        <v/>
      </c>
    </row>
    <row r="538">
      <c r="A538" s="19" t="n"/>
      <c r="C538" s="17" t="n"/>
      <c r="H538" s="20">
        <f>IF(OR(B538="",C538=""),0,IF(B538="Entrada",C538,-C538))</f>
        <v/>
      </c>
      <c r="I538" s="21">
        <f>IF(A538="","",YEAR(A538)*100+MONTH(A538))</f>
        <v/>
      </c>
      <c r="J538" s="21">
        <f>IF(E538="Essencial",1,IF(E538="Dívidas",2,IF(E538="Importante",3,IF(E538="Quero",4,""))))</f>
        <v/>
      </c>
    </row>
    <row r="539">
      <c r="A539" s="19" t="n"/>
      <c r="C539" s="17" t="n"/>
      <c r="H539" s="20">
        <f>IF(OR(B539="",C539=""),0,IF(B539="Entrada",C539,-C539))</f>
        <v/>
      </c>
      <c r="I539" s="21">
        <f>IF(A539="","",YEAR(A539)*100+MONTH(A539))</f>
        <v/>
      </c>
      <c r="J539" s="21">
        <f>IF(E539="Essencial",1,IF(E539="Dívidas",2,IF(E539="Importante",3,IF(E539="Quero",4,""))))</f>
        <v/>
      </c>
    </row>
    <row r="540">
      <c r="A540" s="19" t="n"/>
      <c r="C540" s="17" t="n"/>
      <c r="H540" s="20">
        <f>IF(OR(B540="",C540=""),0,IF(B540="Entrada",C540,-C540))</f>
        <v/>
      </c>
      <c r="I540" s="21">
        <f>IF(A540="","",YEAR(A540)*100+MONTH(A540))</f>
        <v/>
      </c>
      <c r="J540" s="21">
        <f>IF(E540="Essencial",1,IF(E540="Dívidas",2,IF(E540="Importante",3,IF(E540="Quero",4,""))))</f>
        <v/>
      </c>
    </row>
    <row r="541">
      <c r="A541" s="19" t="n"/>
      <c r="C541" s="17" t="n"/>
      <c r="H541" s="20">
        <f>IF(OR(B541="",C541=""),0,IF(B541="Entrada",C541,-C541))</f>
        <v/>
      </c>
      <c r="I541" s="21">
        <f>IF(A541="","",YEAR(A541)*100+MONTH(A541))</f>
        <v/>
      </c>
      <c r="J541" s="21">
        <f>IF(E541="Essencial",1,IF(E541="Dívidas",2,IF(E541="Importante",3,IF(E541="Quero",4,""))))</f>
        <v/>
      </c>
    </row>
    <row r="542">
      <c r="A542" s="19" t="n"/>
      <c r="C542" s="17" t="n"/>
      <c r="H542" s="20">
        <f>IF(OR(B542="",C542=""),0,IF(B542="Entrada",C542,-C542))</f>
        <v/>
      </c>
      <c r="I542" s="21">
        <f>IF(A542="","",YEAR(A542)*100+MONTH(A542))</f>
        <v/>
      </c>
      <c r="J542" s="21">
        <f>IF(E542="Essencial",1,IF(E542="Dívidas",2,IF(E542="Importante",3,IF(E542="Quero",4,""))))</f>
        <v/>
      </c>
    </row>
    <row r="543">
      <c r="A543" s="19" t="n"/>
      <c r="C543" s="17" t="n"/>
      <c r="H543" s="20">
        <f>IF(OR(B543="",C543=""),0,IF(B543="Entrada",C543,-C543))</f>
        <v/>
      </c>
      <c r="I543" s="21">
        <f>IF(A543="","",YEAR(A543)*100+MONTH(A543))</f>
        <v/>
      </c>
      <c r="J543" s="21">
        <f>IF(E543="Essencial",1,IF(E543="Dívidas",2,IF(E543="Importante",3,IF(E543="Quero",4,""))))</f>
        <v/>
      </c>
    </row>
    <row r="544">
      <c r="A544" s="19" t="n"/>
      <c r="C544" s="17" t="n"/>
      <c r="H544" s="20">
        <f>IF(OR(B544="",C544=""),0,IF(B544="Entrada",C544,-C544))</f>
        <v/>
      </c>
      <c r="I544" s="21">
        <f>IF(A544="","",YEAR(A544)*100+MONTH(A544))</f>
        <v/>
      </c>
      <c r="J544" s="21">
        <f>IF(E544="Essencial",1,IF(E544="Dívidas",2,IF(E544="Importante",3,IF(E544="Quero",4,""))))</f>
        <v/>
      </c>
    </row>
    <row r="545">
      <c r="A545" s="19" t="n"/>
      <c r="C545" s="17" t="n"/>
      <c r="H545" s="20">
        <f>IF(OR(B545="",C545=""),0,IF(B545="Entrada",C545,-C545))</f>
        <v/>
      </c>
      <c r="I545" s="21">
        <f>IF(A545="","",YEAR(A545)*100+MONTH(A545))</f>
        <v/>
      </c>
      <c r="J545" s="21">
        <f>IF(E545="Essencial",1,IF(E545="Dívidas",2,IF(E545="Importante",3,IF(E545="Quero",4,""))))</f>
        <v/>
      </c>
    </row>
    <row r="546">
      <c r="A546" s="19" t="n"/>
      <c r="C546" s="17" t="n"/>
      <c r="H546" s="20">
        <f>IF(OR(B546="",C546=""),0,IF(B546="Entrada",C546,-C546))</f>
        <v/>
      </c>
      <c r="I546" s="21">
        <f>IF(A546="","",YEAR(A546)*100+MONTH(A546))</f>
        <v/>
      </c>
      <c r="J546" s="21">
        <f>IF(E546="Essencial",1,IF(E546="Dívidas",2,IF(E546="Importante",3,IF(E546="Quero",4,""))))</f>
        <v/>
      </c>
    </row>
    <row r="547">
      <c r="A547" s="19" t="n"/>
      <c r="C547" s="17" t="n"/>
      <c r="H547" s="20">
        <f>IF(OR(B547="",C547=""),0,IF(B547="Entrada",C547,-C547))</f>
        <v/>
      </c>
      <c r="I547" s="21">
        <f>IF(A547="","",YEAR(A547)*100+MONTH(A547))</f>
        <v/>
      </c>
      <c r="J547" s="21">
        <f>IF(E547="Essencial",1,IF(E547="Dívidas",2,IF(E547="Importante",3,IF(E547="Quero",4,""))))</f>
        <v/>
      </c>
    </row>
    <row r="548">
      <c r="A548" s="19" t="n"/>
      <c r="C548" s="17" t="n"/>
      <c r="H548" s="20">
        <f>IF(OR(B548="",C548=""),0,IF(B548="Entrada",C548,-C548))</f>
        <v/>
      </c>
      <c r="I548" s="21">
        <f>IF(A548="","",YEAR(A548)*100+MONTH(A548))</f>
        <v/>
      </c>
      <c r="J548" s="21">
        <f>IF(E548="Essencial",1,IF(E548="Dívidas",2,IF(E548="Importante",3,IF(E548="Quero",4,""))))</f>
        <v/>
      </c>
    </row>
    <row r="549">
      <c r="A549" s="19" t="n"/>
      <c r="C549" s="17" t="n"/>
      <c r="H549" s="20">
        <f>IF(OR(B549="",C549=""),0,IF(B549="Entrada",C549,-C549))</f>
        <v/>
      </c>
      <c r="I549" s="21">
        <f>IF(A549="","",YEAR(A549)*100+MONTH(A549))</f>
        <v/>
      </c>
      <c r="J549" s="21">
        <f>IF(E549="Essencial",1,IF(E549="Dívidas",2,IF(E549="Importante",3,IF(E549="Quero",4,""))))</f>
        <v/>
      </c>
    </row>
    <row r="550">
      <c r="A550" s="19" t="n"/>
      <c r="C550" s="17" t="n"/>
      <c r="H550" s="20">
        <f>IF(OR(B550="",C550=""),0,IF(B550="Entrada",C550,-C550))</f>
        <v/>
      </c>
      <c r="I550" s="21">
        <f>IF(A550="","",YEAR(A550)*100+MONTH(A550))</f>
        <v/>
      </c>
      <c r="J550" s="21">
        <f>IF(E550="Essencial",1,IF(E550="Dívidas",2,IF(E550="Importante",3,IF(E550="Quero",4,""))))</f>
        <v/>
      </c>
    </row>
    <row r="551">
      <c r="A551" s="19" t="n"/>
      <c r="C551" s="17" t="n"/>
      <c r="H551" s="20">
        <f>IF(OR(B551="",C551=""),0,IF(B551="Entrada",C551,-C551))</f>
        <v/>
      </c>
      <c r="I551" s="21">
        <f>IF(A551="","",YEAR(A551)*100+MONTH(A551))</f>
        <v/>
      </c>
      <c r="J551" s="21">
        <f>IF(E551="Essencial",1,IF(E551="Dívidas",2,IF(E551="Importante",3,IF(E551="Quero",4,""))))</f>
        <v/>
      </c>
    </row>
    <row r="552">
      <c r="A552" s="19" t="n"/>
      <c r="C552" s="17" t="n"/>
      <c r="H552" s="20">
        <f>IF(OR(B552="",C552=""),0,IF(B552="Entrada",C552,-C552))</f>
        <v/>
      </c>
      <c r="I552" s="21">
        <f>IF(A552="","",YEAR(A552)*100+MONTH(A552))</f>
        <v/>
      </c>
      <c r="J552" s="21">
        <f>IF(E552="Essencial",1,IF(E552="Dívidas",2,IF(E552="Importante",3,IF(E552="Quero",4,""))))</f>
        <v/>
      </c>
    </row>
    <row r="553">
      <c r="A553" s="19" t="n"/>
      <c r="C553" s="17" t="n"/>
      <c r="H553" s="20">
        <f>IF(OR(B553="",C553=""),0,IF(B553="Entrada",C553,-C553))</f>
        <v/>
      </c>
      <c r="I553" s="21">
        <f>IF(A553="","",YEAR(A553)*100+MONTH(A553))</f>
        <v/>
      </c>
      <c r="J553" s="21">
        <f>IF(E553="Essencial",1,IF(E553="Dívidas",2,IF(E553="Importante",3,IF(E553="Quero",4,""))))</f>
        <v/>
      </c>
    </row>
    <row r="554">
      <c r="A554" s="19" t="n"/>
      <c r="C554" s="17" t="n"/>
      <c r="H554" s="20">
        <f>IF(OR(B554="",C554=""),0,IF(B554="Entrada",C554,-C554))</f>
        <v/>
      </c>
      <c r="I554" s="21">
        <f>IF(A554="","",YEAR(A554)*100+MONTH(A554))</f>
        <v/>
      </c>
      <c r="J554" s="21">
        <f>IF(E554="Essencial",1,IF(E554="Dívidas",2,IF(E554="Importante",3,IF(E554="Quero",4,""))))</f>
        <v/>
      </c>
    </row>
    <row r="555">
      <c r="A555" s="19" t="n"/>
      <c r="C555" s="17" t="n"/>
      <c r="H555" s="20">
        <f>IF(OR(B555="",C555=""),0,IF(B555="Entrada",C555,-C555))</f>
        <v/>
      </c>
      <c r="I555" s="21">
        <f>IF(A555="","",YEAR(A555)*100+MONTH(A555))</f>
        <v/>
      </c>
      <c r="J555" s="21">
        <f>IF(E555="Essencial",1,IF(E555="Dívidas",2,IF(E555="Importante",3,IF(E555="Quero",4,""))))</f>
        <v/>
      </c>
    </row>
    <row r="556">
      <c r="A556" s="19" t="n"/>
      <c r="C556" s="17" t="n"/>
      <c r="H556" s="20">
        <f>IF(OR(B556="",C556=""),0,IF(B556="Entrada",C556,-C556))</f>
        <v/>
      </c>
      <c r="I556" s="21">
        <f>IF(A556="","",YEAR(A556)*100+MONTH(A556))</f>
        <v/>
      </c>
      <c r="J556" s="21">
        <f>IF(E556="Essencial",1,IF(E556="Dívidas",2,IF(E556="Importante",3,IF(E556="Quero",4,""))))</f>
        <v/>
      </c>
    </row>
    <row r="557">
      <c r="A557" s="19" t="n"/>
      <c r="C557" s="17" t="n"/>
      <c r="H557" s="20">
        <f>IF(OR(B557="",C557=""),0,IF(B557="Entrada",C557,-C557))</f>
        <v/>
      </c>
      <c r="I557" s="21">
        <f>IF(A557="","",YEAR(A557)*100+MONTH(A557))</f>
        <v/>
      </c>
      <c r="J557" s="21">
        <f>IF(E557="Essencial",1,IF(E557="Dívidas",2,IF(E557="Importante",3,IF(E557="Quero",4,""))))</f>
        <v/>
      </c>
    </row>
    <row r="558">
      <c r="A558" s="19" t="n"/>
      <c r="C558" s="17" t="n"/>
      <c r="H558" s="20">
        <f>IF(OR(B558="",C558=""),0,IF(B558="Entrada",C558,-C558))</f>
        <v/>
      </c>
      <c r="I558" s="21">
        <f>IF(A558="","",YEAR(A558)*100+MONTH(A558))</f>
        <v/>
      </c>
      <c r="J558" s="21">
        <f>IF(E558="Essencial",1,IF(E558="Dívidas",2,IF(E558="Importante",3,IF(E558="Quero",4,""))))</f>
        <v/>
      </c>
    </row>
    <row r="559">
      <c r="A559" s="19" t="n"/>
      <c r="C559" s="17" t="n"/>
      <c r="H559" s="20">
        <f>IF(OR(B559="",C559=""),0,IF(B559="Entrada",C559,-C559))</f>
        <v/>
      </c>
      <c r="I559" s="21">
        <f>IF(A559="","",YEAR(A559)*100+MONTH(A559))</f>
        <v/>
      </c>
      <c r="J559" s="21">
        <f>IF(E559="Essencial",1,IF(E559="Dívidas",2,IF(E559="Importante",3,IF(E559="Quero",4,""))))</f>
        <v/>
      </c>
    </row>
    <row r="560">
      <c r="A560" s="19" t="n"/>
      <c r="C560" s="17" t="n"/>
      <c r="H560" s="20">
        <f>IF(OR(B560="",C560=""),0,IF(B560="Entrada",C560,-C560))</f>
        <v/>
      </c>
      <c r="I560" s="21">
        <f>IF(A560="","",YEAR(A560)*100+MONTH(A560))</f>
        <v/>
      </c>
      <c r="J560" s="21">
        <f>IF(E560="Essencial",1,IF(E560="Dívidas",2,IF(E560="Importante",3,IF(E560="Quero",4,""))))</f>
        <v/>
      </c>
    </row>
    <row r="561">
      <c r="A561" s="19" t="n"/>
      <c r="C561" s="17" t="n"/>
      <c r="H561" s="20">
        <f>IF(OR(B561="",C561=""),0,IF(B561="Entrada",C561,-C561))</f>
        <v/>
      </c>
      <c r="I561" s="21">
        <f>IF(A561="","",YEAR(A561)*100+MONTH(A561))</f>
        <v/>
      </c>
      <c r="J561" s="21">
        <f>IF(E561="Essencial",1,IF(E561="Dívidas",2,IF(E561="Importante",3,IF(E561="Quero",4,""))))</f>
        <v/>
      </c>
    </row>
    <row r="562">
      <c r="A562" s="19" t="n"/>
      <c r="C562" s="17" t="n"/>
      <c r="H562" s="20">
        <f>IF(OR(B562="",C562=""),0,IF(B562="Entrada",C562,-C562))</f>
        <v/>
      </c>
      <c r="I562" s="21">
        <f>IF(A562="","",YEAR(A562)*100+MONTH(A562))</f>
        <v/>
      </c>
      <c r="J562" s="21">
        <f>IF(E562="Essencial",1,IF(E562="Dívidas",2,IF(E562="Importante",3,IF(E562="Quero",4,""))))</f>
        <v/>
      </c>
    </row>
    <row r="563">
      <c r="A563" s="19" t="n"/>
      <c r="C563" s="17" t="n"/>
      <c r="H563" s="20">
        <f>IF(OR(B563="",C563=""),0,IF(B563="Entrada",C563,-C563))</f>
        <v/>
      </c>
      <c r="I563" s="21">
        <f>IF(A563="","",YEAR(A563)*100+MONTH(A563))</f>
        <v/>
      </c>
      <c r="J563" s="21">
        <f>IF(E563="Essencial",1,IF(E563="Dívidas",2,IF(E563="Importante",3,IF(E563="Quero",4,""))))</f>
        <v/>
      </c>
    </row>
    <row r="564">
      <c r="A564" s="19" t="n"/>
      <c r="C564" s="17" t="n"/>
      <c r="H564" s="20">
        <f>IF(OR(B564="",C564=""),0,IF(B564="Entrada",C564,-C564))</f>
        <v/>
      </c>
      <c r="I564" s="21">
        <f>IF(A564="","",YEAR(A564)*100+MONTH(A564))</f>
        <v/>
      </c>
      <c r="J564" s="21">
        <f>IF(E564="Essencial",1,IF(E564="Dívidas",2,IF(E564="Importante",3,IF(E564="Quero",4,""))))</f>
        <v/>
      </c>
    </row>
    <row r="565">
      <c r="A565" s="19" t="n"/>
      <c r="C565" s="17" t="n"/>
      <c r="H565" s="20">
        <f>IF(OR(B565="",C565=""),0,IF(B565="Entrada",C565,-C565))</f>
        <v/>
      </c>
      <c r="I565" s="21">
        <f>IF(A565="","",YEAR(A565)*100+MONTH(A565))</f>
        <v/>
      </c>
      <c r="J565" s="21">
        <f>IF(E565="Essencial",1,IF(E565="Dívidas",2,IF(E565="Importante",3,IF(E565="Quero",4,""))))</f>
        <v/>
      </c>
    </row>
    <row r="566">
      <c r="A566" s="19" t="n"/>
      <c r="C566" s="17" t="n"/>
      <c r="H566" s="20">
        <f>IF(OR(B566="",C566=""),0,IF(B566="Entrada",C566,-C566))</f>
        <v/>
      </c>
      <c r="I566" s="21">
        <f>IF(A566="","",YEAR(A566)*100+MONTH(A566))</f>
        <v/>
      </c>
      <c r="J566" s="21">
        <f>IF(E566="Essencial",1,IF(E566="Dívidas",2,IF(E566="Importante",3,IF(E566="Quero",4,""))))</f>
        <v/>
      </c>
    </row>
    <row r="567">
      <c r="A567" s="19" t="n"/>
      <c r="C567" s="17" t="n"/>
      <c r="H567" s="20">
        <f>IF(OR(B567="",C567=""),0,IF(B567="Entrada",C567,-C567))</f>
        <v/>
      </c>
      <c r="I567" s="21">
        <f>IF(A567="","",YEAR(A567)*100+MONTH(A567))</f>
        <v/>
      </c>
      <c r="J567" s="21">
        <f>IF(E567="Essencial",1,IF(E567="Dívidas",2,IF(E567="Importante",3,IF(E567="Quero",4,""))))</f>
        <v/>
      </c>
    </row>
    <row r="568">
      <c r="A568" s="19" t="n"/>
      <c r="C568" s="17" t="n"/>
      <c r="H568" s="20">
        <f>IF(OR(B568="",C568=""),0,IF(B568="Entrada",C568,-C568))</f>
        <v/>
      </c>
      <c r="I568" s="21">
        <f>IF(A568="","",YEAR(A568)*100+MONTH(A568))</f>
        <v/>
      </c>
      <c r="J568" s="21">
        <f>IF(E568="Essencial",1,IF(E568="Dívidas",2,IF(E568="Importante",3,IF(E568="Quero",4,""))))</f>
        <v/>
      </c>
    </row>
    <row r="569">
      <c r="A569" s="19" t="n"/>
      <c r="C569" s="17" t="n"/>
      <c r="H569" s="20">
        <f>IF(OR(B569="",C569=""),0,IF(B569="Entrada",C569,-C569))</f>
        <v/>
      </c>
      <c r="I569" s="21">
        <f>IF(A569="","",YEAR(A569)*100+MONTH(A569))</f>
        <v/>
      </c>
      <c r="J569" s="21">
        <f>IF(E569="Essencial",1,IF(E569="Dívidas",2,IF(E569="Importante",3,IF(E569="Quero",4,""))))</f>
        <v/>
      </c>
    </row>
    <row r="570">
      <c r="A570" s="19" t="n"/>
      <c r="C570" s="17" t="n"/>
      <c r="H570" s="20">
        <f>IF(OR(B570="",C570=""),0,IF(B570="Entrada",C570,-C570))</f>
        <v/>
      </c>
      <c r="I570" s="21">
        <f>IF(A570="","",YEAR(A570)*100+MONTH(A570))</f>
        <v/>
      </c>
      <c r="J570" s="21">
        <f>IF(E570="Essencial",1,IF(E570="Dívidas",2,IF(E570="Importante",3,IF(E570="Quero",4,""))))</f>
        <v/>
      </c>
    </row>
    <row r="571">
      <c r="A571" s="19" t="n"/>
      <c r="C571" s="17" t="n"/>
      <c r="H571" s="20">
        <f>IF(OR(B571="",C571=""),0,IF(B571="Entrada",C571,-C571))</f>
        <v/>
      </c>
      <c r="I571" s="21">
        <f>IF(A571="","",YEAR(A571)*100+MONTH(A571))</f>
        <v/>
      </c>
      <c r="J571" s="21">
        <f>IF(E571="Essencial",1,IF(E571="Dívidas",2,IF(E571="Importante",3,IF(E571="Quero",4,""))))</f>
        <v/>
      </c>
    </row>
    <row r="572">
      <c r="A572" s="19" t="n"/>
      <c r="C572" s="17" t="n"/>
      <c r="H572" s="20">
        <f>IF(OR(B572="",C572=""),0,IF(B572="Entrada",C572,-C572))</f>
        <v/>
      </c>
      <c r="I572" s="21">
        <f>IF(A572="","",YEAR(A572)*100+MONTH(A572))</f>
        <v/>
      </c>
      <c r="J572" s="21">
        <f>IF(E572="Essencial",1,IF(E572="Dívidas",2,IF(E572="Importante",3,IF(E572="Quero",4,""))))</f>
        <v/>
      </c>
    </row>
    <row r="573">
      <c r="A573" s="19" t="n"/>
      <c r="C573" s="17" t="n"/>
      <c r="H573" s="20">
        <f>IF(OR(B573="",C573=""),0,IF(B573="Entrada",C573,-C573))</f>
        <v/>
      </c>
      <c r="I573" s="21">
        <f>IF(A573="","",YEAR(A573)*100+MONTH(A573))</f>
        <v/>
      </c>
      <c r="J573" s="21">
        <f>IF(E573="Essencial",1,IF(E573="Dívidas",2,IF(E573="Importante",3,IF(E573="Quero",4,""))))</f>
        <v/>
      </c>
    </row>
    <row r="574">
      <c r="A574" s="19" t="n"/>
      <c r="C574" s="17" t="n"/>
      <c r="H574" s="20">
        <f>IF(OR(B574="",C574=""),0,IF(B574="Entrada",C574,-C574))</f>
        <v/>
      </c>
      <c r="I574" s="21">
        <f>IF(A574="","",YEAR(A574)*100+MONTH(A574))</f>
        <v/>
      </c>
      <c r="J574" s="21">
        <f>IF(E574="Essencial",1,IF(E574="Dívidas",2,IF(E574="Importante",3,IF(E574="Quero",4,""))))</f>
        <v/>
      </c>
    </row>
    <row r="575">
      <c r="A575" s="19" t="n"/>
      <c r="C575" s="17" t="n"/>
      <c r="H575" s="20">
        <f>IF(OR(B575="",C575=""),0,IF(B575="Entrada",C575,-C575))</f>
        <v/>
      </c>
      <c r="I575" s="21">
        <f>IF(A575="","",YEAR(A575)*100+MONTH(A575))</f>
        <v/>
      </c>
      <c r="J575" s="21">
        <f>IF(E575="Essencial",1,IF(E575="Dívidas",2,IF(E575="Importante",3,IF(E575="Quero",4,""))))</f>
        <v/>
      </c>
    </row>
    <row r="576">
      <c r="A576" s="19" t="n"/>
      <c r="C576" s="17" t="n"/>
      <c r="H576" s="20">
        <f>IF(OR(B576="",C576=""),0,IF(B576="Entrada",C576,-C576))</f>
        <v/>
      </c>
      <c r="I576" s="21">
        <f>IF(A576="","",YEAR(A576)*100+MONTH(A576))</f>
        <v/>
      </c>
      <c r="J576" s="21">
        <f>IF(E576="Essencial",1,IF(E576="Dívidas",2,IF(E576="Importante",3,IF(E576="Quero",4,""))))</f>
        <v/>
      </c>
    </row>
    <row r="577">
      <c r="A577" s="19" t="n"/>
      <c r="C577" s="17" t="n"/>
      <c r="H577" s="20">
        <f>IF(OR(B577="",C577=""),0,IF(B577="Entrada",C577,-C577))</f>
        <v/>
      </c>
      <c r="I577" s="21">
        <f>IF(A577="","",YEAR(A577)*100+MONTH(A577))</f>
        <v/>
      </c>
      <c r="J577" s="21">
        <f>IF(E577="Essencial",1,IF(E577="Dívidas",2,IF(E577="Importante",3,IF(E577="Quero",4,""))))</f>
        <v/>
      </c>
    </row>
    <row r="578">
      <c r="A578" s="19" t="n"/>
      <c r="C578" s="17" t="n"/>
      <c r="H578" s="20">
        <f>IF(OR(B578="",C578=""),0,IF(B578="Entrada",C578,-C578))</f>
        <v/>
      </c>
      <c r="I578" s="21">
        <f>IF(A578="","",YEAR(A578)*100+MONTH(A578))</f>
        <v/>
      </c>
      <c r="J578" s="21">
        <f>IF(E578="Essencial",1,IF(E578="Dívidas",2,IF(E578="Importante",3,IF(E578="Quero",4,""))))</f>
        <v/>
      </c>
    </row>
    <row r="579">
      <c r="A579" s="19" t="n"/>
      <c r="C579" s="17" t="n"/>
      <c r="H579" s="20">
        <f>IF(OR(B579="",C579=""),0,IF(B579="Entrada",C579,-C579))</f>
        <v/>
      </c>
      <c r="I579" s="21">
        <f>IF(A579="","",YEAR(A579)*100+MONTH(A579))</f>
        <v/>
      </c>
      <c r="J579" s="21">
        <f>IF(E579="Essencial",1,IF(E579="Dívidas",2,IF(E579="Importante",3,IF(E579="Quero",4,""))))</f>
        <v/>
      </c>
    </row>
    <row r="580">
      <c r="A580" s="19" t="n"/>
      <c r="C580" s="17" t="n"/>
      <c r="H580" s="20">
        <f>IF(OR(B580="",C580=""),0,IF(B580="Entrada",C580,-C580))</f>
        <v/>
      </c>
      <c r="I580" s="21">
        <f>IF(A580="","",YEAR(A580)*100+MONTH(A580))</f>
        <v/>
      </c>
      <c r="J580" s="21">
        <f>IF(E580="Essencial",1,IF(E580="Dívidas",2,IF(E580="Importante",3,IF(E580="Quero",4,""))))</f>
        <v/>
      </c>
    </row>
    <row r="581">
      <c r="A581" s="19" t="n"/>
      <c r="C581" s="17" t="n"/>
      <c r="H581" s="20">
        <f>IF(OR(B581="",C581=""),0,IF(B581="Entrada",C581,-C581))</f>
        <v/>
      </c>
      <c r="I581" s="21">
        <f>IF(A581="","",YEAR(A581)*100+MONTH(A581))</f>
        <v/>
      </c>
      <c r="J581" s="21">
        <f>IF(E581="Essencial",1,IF(E581="Dívidas",2,IF(E581="Importante",3,IF(E581="Quero",4,""))))</f>
        <v/>
      </c>
    </row>
    <row r="582">
      <c r="A582" s="19" t="n"/>
      <c r="C582" s="17" t="n"/>
      <c r="H582" s="20">
        <f>IF(OR(B582="",C582=""),0,IF(B582="Entrada",C582,-C582))</f>
        <v/>
      </c>
      <c r="I582" s="21">
        <f>IF(A582="","",YEAR(A582)*100+MONTH(A582))</f>
        <v/>
      </c>
      <c r="J582" s="21">
        <f>IF(E582="Essencial",1,IF(E582="Dívidas",2,IF(E582="Importante",3,IF(E582="Quero",4,""))))</f>
        <v/>
      </c>
    </row>
    <row r="583">
      <c r="A583" s="19" t="n"/>
      <c r="C583" s="17" t="n"/>
      <c r="H583" s="20">
        <f>IF(OR(B583="",C583=""),0,IF(B583="Entrada",C583,-C583))</f>
        <v/>
      </c>
      <c r="I583" s="21">
        <f>IF(A583="","",YEAR(A583)*100+MONTH(A583))</f>
        <v/>
      </c>
      <c r="J583" s="21">
        <f>IF(E583="Essencial",1,IF(E583="Dívidas",2,IF(E583="Importante",3,IF(E583="Quero",4,""))))</f>
        <v/>
      </c>
    </row>
    <row r="584">
      <c r="A584" s="19" t="n"/>
      <c r="C584" s="17" t="n"/>
      <c r="H584" s="20">
        <f>IF(OR(B584="",C584=""),0,IF(B584="Entrada",C584,-C584))</f>
        <v/>
      </c>
      <c r="I584" s="21">
        <f>IF(A584="","",YEAR(A584)*100+MONTH(A584))</f>
        <v/>
      </c>
      <c r="J584" s="21">
        <f>IF(E584="Essencial",1,IF(E584="Dívidas",2,IF(E584="Importante",3,IF(E584="Quero",4,""))))</f>
        <v/>
      </c>
    </row>
    <row r="585">
      <c r="A585" s="19" t="n"/>
      <c r="C585" s="17" t="n"/>
      <c r="H585" s="20">
        <f>IF(OR(B585="",C585=""),0,IF(B585="Entrada",C585,-C585))</f>
        <v/>
      </c>
      <c r="I585" s="21">
        <f>IF(A585="","",YEAR(A585)*100+MONTH(A585))</f>
        <v/>
      </c>
      <c r="J585" s="21">
        <f>IF(E585="Essencial",1,IF(E585="Dívidas",2,IF(E585="Importante",3,IF(E585="Quero",4,""))))</f>
        <v/>
      </c>
    </row>
    <row r="586">
      <c r="A586" s="19" t="n"/>
      <c r="C586" s="17" t="n"/>
      <c r="H586" s="20">
        <f>IF(OR(B586="",C586=""),0,IF(B586="Entrada",C586,-C586))</f>
        <v/>
      </c>
      <c r="I586" s="21">
        <f>IF(A586="","",YEAR(A586)*100+MONTH(A586))</f>
        <v/>
      </c>
      <c r="J586" s="21">
        <f>IF(E586="Essencial",1,IF(E586="Dívidas",2,IF(E586="Importante",3,IF(E586="Quero",4,""))))</f>
        <v/>
      </c>
    </row>
    <row r="587">
      <c r="A587" s="19" t="n"/>
      <c r="C587" s="17" t="n"/>
      <c r="H587" s="20">
        <f>IF(OR(B587="",C587=""),0,IF(B587="Entrada",C587,-C587))</f>
        <v/>
      </c>
      <c r="I587" s="21">
        <f>IF(A587="","",YEAR(A587)*100+MONTH(A587))</f>
        <v/>
      </c>
      <c r="J587" s="21">
        <f>IF(E587="Essencial",1,IF(E587="Dívidas",2,IF(E587="Importante",3,IF(E587="Quero",4,""))))</f>
        <v/>
      </c>
    </row>
    <row r="588">
      <c r="A588" s="19" t="n"/>
      <c r="C588" s="17" t="n"/>
      <c r="H588" s="20">
        <f>IF(OR(B588="",C588=""),0,IF(B588="Entrada",C588,-C588))</f>
        <v/>
      </c>
      <c r="I588" s="21">
        <f>IF(A588="","",YEAR(A588)*100+MONTH(A588))</f>
        <v/>
      </c>
      <c r="J588" s="21">
        <f>IF(E588="Essencial",1,IF(E588="Dívidas",2,IF(E588="Importante",3,IF(E588="Quero",4,""))))</f>
        <v/>
      </c>
    </row>
    <row r="589">
      <c r="A589" s="19" t="n"/>
      <c r="C589" s="17" t="n"/>
      <c r="H589" s="20">
        <f>IF(OR(B589="",C589=""),0,IF(B589="Entrada",C589,-C589))</f>
        <v/>
      </c>
      <c r="I589" s="21">
        <f>IF(A589="","",YEAR(A589)*100+MONTH(A589))</f>
        <v/>
      </c>
      <c r="J589" s="21">
        <f>IF(E589="Essencial",1,IF(E589="Dívidas",2,IF(E589="Importante",3,IF(E589="Quero",4,""))))</f>
        <v/>
      </c>
    </row>
    <row r="590">
      <c r="A590" s="19" t="n"/>
      <c r="C590" s="17" t="n"/>
      <c r="H590" s="20">
        <f>IF(OR(B590="",C590=""),0,IF(B590="Entrada",C590,-C590))</f>
        <v/>
      </c>
      <c r="I590" s="21">
        <f>IF(A590="","",YEAR(A590)*100+MONTH(A590))</f>
        <v/>
      </c>
      <c r="J590" s="21">
        <f>IF(E590="Essencial",1,IF(E590="Dívidas",2,IF(E590="Importante",3,IF(E590="Quero",4,""))))</f>
        <v/>
      </c>
    </row>
    <row r="591">
      <c r="A591" s="19" t="n"/>
      <c r="C591" s="17" t="n"/>
      <c r="H591" s="20">
        <f>IF(OR(B591="",C591=""),0,IF(B591="Entrada",C591,-C591))</f>
        <v/>
      </c>
      <c r="I591" s="21">
        <f>IF(A591="","",YEAR(A591)*100+MONTH(A591))</f>
        <v/>
      </c>
      <c r="J591" s="21">
        <f>IF(E591="Essencial",1,IF(E591="Dívidas",2,IF(E591="Importante",3,IF(E591="Quero",4,""))))</f>
        <v/>
      </c>
    </row>
    <row r="592">
      <c r="A592" s="19" t="n"/>
      <c r="C592" s="17" t="n"/>
      <c r="H592" s="20">
        <f>IF(OR(B592="",C592=""),0,IF(B592="Entrada",C592,-C592))</f>
        <v/>
      </c>
      <c r="I592" s="21">
        <f>IF(A592="","",YEAR(A592)*100+MONTH(A592))</f>
        <v/>
      </c>
      <c r="J592" s="21">
        <f>IF(E592="Essencial",1,IF(E592="Dívidas",2,IF(E592="Importante",3,IF(E592="Quero",4,""))))</f>
        <v/>
      </c>
    </row>
    <row r="593">
      <c r="A593" s="19" t="n"/>
      <c r="C593" s="17" t="n"/>
      <c r="H593" s="20">
        <f>IF(OR(B593="",C593=""),0,IF(B593="Entrada",C593,-C593))</f>
        <v/>
      </c>
      <c r="I593" s="21">
        <f>IF(A593="","",YEAR(A593)*100+MONTH(A593))</f>
        <v/>
      </c>
      <c r="J593" s="21">
        <f>IF(E593="Essencial",1,IF(E593="Dívidas",2,IF(E593="Importante",3,IF(E593="Quero",4,""))))</f>
        <v/>
      </c>
    </row>
    <row r="594">
      <c r="A594" s="19" t="n"/>
      <c r="C594" s="17" t="n"/>
      <c r="H594" s="20">
        <f>IF(OR(B594="",C594=""),0,IF(B594="Entrada",C594,-C594))</f>
        <v/>
      </c>
      <c r="I594" s="21">
        <f>IF(A594="","",YEAR(A594)*100+MONTH(A594))</f>
        <v/>
      </c>
      <c r="J594" s="21">
        <f>IF(E594="Essencial",1,IF(E594="Dívidas",2,IF(E594="Importante",3,IF(E594="Quero",4,""))))</f>
        <v/>
      </c>
    </row>
    <row r="595">
      <c r="A595" s="19" t="n"/>
      <c r="C595" s="17" t="n"/>
      <c r="H595" s="20">
        <f>IF(OR(B595="",C595=""),0,IF(B595="Entrada",C595,-C595))</f>
        <v/>
      </c>
      <c r="I595" s="21">
        <f>IF(A595="","",YEAR(A595)*100+MONTH(A595))</f>
        <v/>
      </c>
      <c r="J595" s="21">
        <f>IF(E595="Essencial",1,IF(E595="Dívidas",2,IF(E595="Importante",3,IF(E595="Quero",4,""))))</f>
        <v/>
      </c>
    </row>
    <row r="596">
      <c r="A596" s="19" t="n"/>
      <c r="C596" s="17" t="n"/>
      <c r="H596" s="20">
        <f>IF(OR(B596="",C596=""),0,IF(B596="Entrada",C596,-C596))</f>
        <v/>
      </c>
      <c r="I596" s="21">
        <f>IF(A596="","",YEAR(A596)*100+MONTH(A596))</f>
        <v/>
      </c>
      <c r="J596" s="21">
        <f>IF(E596="Essencial",1,IF(E596="Dívidas",2,IF(E596="Importante",3,IF(E596="Quero",4,""))))</f>
        <v/>
      </c>
    </row>
    <row r="597">
      <c r="A597" s="19" t="n"/>
      <c r="C597" s="17" t="n"/>
      <c r="H597" s="20">
        <f>IF(OR(B597="",C597=""),0,IF(B597="Entrada",C597,-C597))</f>
        <v/>
      </c>
      <c r="I597" s="21">
        <f>IF(A597="","",YEAR(A597)*100+MONTH(A597))</f>
        <v/>
      </c>
      <c r="J597" s="21">
        <f>IF(E597="Essencial",1,IF(E597="Dívidas",2,IF(E597="Importante",3,IF(E597="Quero",4,""))))</f>
        <v/>
      </c>
    </row>
    <row r="598">
      <c r="A598" s="19" t="n"/>
      <c r="C598" s="17" t="n"/>
      <c r="H598" s="20">
        <f>IF(OR(B598="",C598=""),0,IF(B598="Entrada",C598,-C598))</f>
        <v/>
      </c>
      <c r="I598" s="21">
        <f>IF(A598="","",YEAR(A598)*100+MONTH(A598))</f>
        <v/>
      </c>
      <c r="J598" s="21">
        <f>IF(E598="Essencial",1,IF(E598="Dívidas",2,IF(E598="Importante",3,IF(E598="Quero",4,""))))</f>
        <v/>
      </c>
    </row>
    <row r="599">
      <c r="A599" s="19" t="n"/>
      <c r="C599" s="17" t="n"/>
      <c r="H599" s="20">
        <f>IF(OR(B599="",C599=""),0,IF(B599="Entrada",C599,-C599))</f>
        <v/>
      </c>
      <c r="I599" s="21">
        <f>IF(A599="","",YEAR(A599)*100+MONTH(A599))</f>
        <v/>
      </c>
      <c r="J599" s="21">
        <f>IF(E599="Essencial",1,IF(E599="Dívidas",2,IF(E599="Importante",3,IF(E599="Quero",4,""))))</f>
        <v/>
      </c>
    </row>
    <row r="600">
      <c r="A600" s="19" t="n"/>
      <c r="C600" s="17" t="n"/>
      <c r="H600" s="20">
        <f>IF(OR(B600="",C600=""),0,IF(B600="Entrada",C600,-C600))</f>
        <v/>
      </c>
      <c r="I600" s="21">
        <f>IF(A600="","",YEAR(A600)*100+MONTH(A600))</f>
        <v/>
      </c>
      <c r="J600" s="21">
        <f>IF(E600="Essencial",1,IF(E600="Dívidas",2,IF(E600="Importante",3,IF(E600="Quero",4,""))))</f>
        <v/>
      </c>
    </row>
    <row r="601">
      <c r="A601" s="19" t="n"/>
      <c r="C601" s="17" t="n"/>
      <c r="H601" s="20">
        <f>IF(OR(B601="",C601=""),0,IF(B601="Entrada",C601,-C601))</f>
        <v/>
      </c>
      <c r="I601" s="21">
        <f>IF(A601="","",YEAR(A601)*100+MONTH(A601))</f>
        <v/>
      </c>
      <c r="J601" s="21">
        <f>IF(E601="Essencial",1,IF(E601="Dívidas",2,IF(E601="Importante",3,IF(E601="Quero",4,""))))</f>
        <v/>
      </c>
    </row>
    <row r="602">
      <c r="A602" s="19" t="n"/>
      <c r="C602" s="17" t="n"/>
      <c r="H602" s="20">
        <f>IF(OR(B602="",C602=""),0,IF(B602="Entrada",C602,-C602))</f>
        <v/>
      </c>
      <c r="I602" s="21">
        <f>IF(A602="","",YEAR(A602)*100+MONTH(A602))</f>
        <v/>
      </c>
      <c r="J602" s="21">
        <f>IF(E602="Essencial",1,IF(E602="Dívidas",2,IF(E602="Importante",3,IF(E602="Quero",4,""))))</f>
        <v/>
      </c>
    </row>
    <row r="603">
      <c r="A603" s="19" t="n"/>
      <c r="C603" s="17" t="n"/>
      <c r="H603" s="20">
        <f>IF(OR(B603="",C603=""),0,IF(B603="Entrada",C603,-C603))</f>
        <v/>
      </c>
      <c r="I603" s="21">
        <f>IF(A603="","",YEAR(A603)*100+MONTH(A603))</f>
        <v/>
      </c>
      <c r="J603" s="21">
        <f>IF(E603="Essencial",1,IF(E603="Dívidas",2,IF(E603="Importante",3,IF(E603="Quero",4,""))))</f>
        <v/>
      </c>
    </row>
    <row r="604">
      <c r="A604" s="19" t="n"/>
      <c r="C604" s="17" t="n"/>
      <c r="H604" s="20">
        <f>IF(OR(B604="",C604=""),0,IF(B604="Entrada",C604,-C604))</f>
        <v/>
      </c>
      <c r="I604" s="21">
        <f>IF(A604="","",YEAR(A604)*100+MONTH(A604))</f>
        <v/>
      </c>
      <c r="J604" s="21">
        <f>IF(E604="Essencial",1,IF(E604="Dívidas",2,IF(E604="Importante",3,IF(E604="Quero",4,""))))</f>
        <v/>
      </c>
    </row>
    <row r="605">
      <c r="A605" s="19" t="n"/>
      <c r="C605" s="17" t="n"/>
      <c r="H605" s="20">
        <f>IF(OR(B605="",C605=""),0,IF(B605="Entrada",C605,-C605))</f>
        <v/>
      </c>
      <c r="I605" s="21">
        <f>IF(A605="","",YEAR(A605)*100+MONTH(A605))</f>
        <v/>
      </c>
      <c r="J605" s="21">
        <f>IF(E605="Essencial",1,IF(E605="Dívidas",2,IF(E605="Importante",3,IF(E605="Quero",4,""))))</f>
        <v/>
      </c>
    </row>
    <row r="606">
      <c r="A606" s="19" t="n"/>
      <c r="C606" s="17" t="n"/>
      <c r="H606" s="20">
        <f>IF(OR(B606="",C606=""),0,IF(B606="Entrada",C606,-C606))</f>
        <v/>
      </c>
      <c r="I606" s="21">
        <f>IF(A606="","",YEAR(A606)*100+MONTH(A606))</f>
        <v/>
      </c>
      <c r="J606" s="21">
        <f>IF(E606="Essencial",1,IF(E606="Dívidas",2,IF(E606="Importante",3,IF(E606="Quero",4,""))))</f>
        <v/>
      </c>
    </row>
    <row r="607">
      <c r="A607" s="19" t="n"/>
      <c r="C607" s="17" t="n"/>
      <c r="H607" s="20">
        <f>IF(OR(B607="",C607=""),0,IF(B607="Entrada",C607,-C607))</f>
        <v/>
      </c>
      <c r="I607" s="21">
        <f>IF(A607="","",YEAR(A607)*100+MONTH(A607))</f>
        <v/>
      </c>
      <c r="J607" s="21">
        <f>IF(E607="Essencial",1,IF(E607="Dívidas",2,IF(E607="Importante",3,IF(E607="Quero",4,""))))</f>
        <v/>
      </c>
    </row>
    <row r="608">
      <c r="A608" s="19" t="n"/>
      <c r="C608" s="17" t="n"/>
      <c r="H608" s="20">
        <f>IF(OR(B608="",C608=""),0,IF(B608="Entrada",C608,-C608))</f>
        <v/>
      </c>
      <c r="I608" s="21">
        <f>IF(A608="","",YEAR(A608)*100+MONTH(A608))</f>
        <v/>
      </c>
      <c r="J608" s="21">
        <f>IF(E608="Essencial",1,IF(E608="Dívidas",2,IF(E608="Importante",3,IF(E608="Quero",4,""))))</f>
        <v/>
      </c>
    </row>
    <row r="609">
      <c r="A609" s="19" t="n"/>
      <c r="C609" s="17" t="n"/>
      <c r="H609" s="20">
        <f>IF(OR(B609="",C609=""),0,IF(B609="Entrada",C609,-C609))</f>
        <v/>
      </c>
      <c r="I609" s="21">
        <f>IF(A609="","",YEAR(A609)*100+MONTH(A609))</f>
        <v/>
      </c>
      <c r="J609" s="21">
        <f>IF(E609="Essencial",1,IF(E609="Dívidas",2,IF(E609="Importante",3,IF(E609="Quero",4,""))))</f>
        <v/>
      </c>
    </row>
    <row r="610">
      <c r="A610" s="19" t="n"/>
      <c r="C610" s="17" t="n"/>
      <c r="H610" s="20">
        <f>IF(OR(B610="",C610=""),0,IF(B610="Entrada",C610,-C610))</f>
        <v/>
      </c>
      <c r="I610" s="21">
        <f>IF(A610="","",YEAR(A610)*100+MONTH(A610))</f>
        <v/>
      </c>
      <c r="J610" s="21">
        <f>IF(E610="Essencial",1,IF(E610="Dívidas",2,IF(E610="Importante",3,IF(E610="Quero",4,""))))</f>
        <v/>
      </c>
    </row>
    <row r="611">
      <c r="A611" s="19" t="n"/>
      <c r="C611" s="17" t="n"/>
      <c r="H611" s="20">
        <f>IF(OR(B611="",C611=""),0,IF(B611="Entrada",C611,-C611))</f>
        <v/>
      </c>
      <c r="I611" s="21">
        <f>IF(A611="","",YEAR(A611)*100+MONTH(A611))</f>
        <v/>
      </c>
      <c r="J611" s="21">
        <f>IF(E611="Essencial",1,IF(E611="Dívidas",2,IF(E611="Importante",3,IF(E611="Quero",4,""))))</f>
        <v/>
      </c>
    </row>
    <row r="612">
      <c r="A612" s="19" t="n"/>
      <c r="C612" s="17" t="n"/>
      <c r="H612" s="20">
        <f>IF(OR(B612="",C612=""),0,IF(B612="Entrada",C612,-C612))</f>
        <v/>
      </c>
      <c r="I612" s="21">
        <f>IF(A612="","",YEAR(A612)*100+MONTH(A612))</f>
        <v/>
      </c>
      <c r="J612" s="21">
        <f>IF(E612="Essencial",1,IF(E612="Dívidas",2,IF(E612="Importante",3,IF(E612="Quero",4,""))))</f>
        <v/>
      </c>
    </row>
    <row r="613">
      <c r="A613" s="19" t="n"/>
      <c r="C613" s="17" t="n"/>
      <c r="H613" s="20">
        <f>IF(OR(B613="",C613=""),0,IF(B613="Entrada",C613,-C613))</f>
        <v/>
      </c>
      <c r="I613" s="21">
        <f>IF(A613="","",YEAR(A613)*100+MONTH(A613))</f>
        <v/>
      </c>
      <c r="J613" s="21">
        <f>IF(E613="Essencial",1,IF(E613="Dívidas",2,IF(E613="Importante",3,IF(E613="Quero",4,""))))</f>
        <v/>
      </c>
    </row>
    <row r="614">
      <c r="A614" s="19" t="n"/>
      <c r="C614" s="17" t="n"/>
      <c r="H614" s="20">
        <f>IF(OR(B614="",C614=""),0,IF(B614="Entrada",C614,-C614))</f>
        <v/>
      </c>
      <c r="I614" s="21">
        <f>IF(A614="","",YEAR(A614)*100+MONTH(A614))</f>
        <v/>
      </c>
      <c r="J614" s="21">
        <f>IF(E614="Essencial",1,IF(E614="Dívidas",2,IF(E614="Importante",3,IF(E614="Quero",4,""))))</f>
        <v/>
      </c>
    </row>
    <row r="615">
      <c r="A615" s="19" t="n"/>
      <c r="C615" s="17" t="n"/>
      <c r="H615" s="20">
        <f>IF(OR(B615="",C615=""),0,IF(B615="Entrada",C615,-C615))</f>
        <v/>
      </c>
      <c r="I615" s="21">
        <f>IF(A615="","",YEAR(A615)*100+MONTH(A615))</f>
        <v/>
      </c>
      <c r="J615" s="21">
        <f>IF(E615="Essencial",1,IF(E615="Dívidas",2,IF(E615="Importante",3,IF(E615="Quero",4,""))))</f>
        <v/>
      </c>
    </row>
    <row r="616">
      <c r="A616" s="19" t="n"/>
      <c r="C616" s="17" t="n"/>
      <c r="H616" s="20">
        <f>IF(OR(B616="",C616=""),0,IF(B616="Entrada",C616,-C616))</f>
        <v/>
      </c>
      <c r="I616" s="21">
        <f>IF(A616="","",YEAR(A616)*100+MONTH(A616))</f>
        <v/>
      </c>
      <c r="J616" s="21">
        <f>IF(E616="Essencial",1,IF(E616="Dívidas",2,IF(E616="Importante",3,IF(E616="Quero",4,""))))</f>
        <v/>
      </c>
    </row>
    <row r="617">
      <c r="A617" s="19" t="n"/>
      <c r="C617" s="17" t="n"/>
      <c r="H617" s="20">
        <f>IF(OR(B617="",C617=""),0,IF(B617="Entrada",C617,-C617))</f>
        <v/>
      </c>
      <c r="I617" s="21">
        <f>IF(A617="","",YEAR(A617)*100+MONTH(A617))</f>
        <v/>
      </c>
      <c r="J617" s="21">
        <f>IF(E617="Essencial",1,IF(E617="Dívidas",2,IF(E617="Importante",3,IF(E617="Quero",4,""))))</f>
        <v/>
      </c>
    </row>
    <row r="618">
      <c r="A618" s="19" t="n"/>
      <c r="C618" s="17" t="n"/>
      <c r="H618" s="20">
        <f>IF(OR(B618="",C618=""),0,IF(B618="Entrada",C618,-C618))</f>
        <v/>
      </c>
      <c r="I618" s="21">
        <f>IF(A618="","",YEAR(A618)*100+MONTH(A618))</f>
        <v/>
      </c>
      <c r="J618" s="21">
        <f>IF(E618="Essencial",1,IF(E618="Dívidas",2,IF(E618="Importante",3,IF(E618="Quero",4,""))))</f>
        <v/>
      </c>
    </row>
    <row r="619">
      <c r="A619" s="19" t="n"/>
      <c r="C619" s="17" t="n"/>
      <c r="H619" s="20">
        <f>IF(OR(B619="",C619=""),0,IF(B619="Entrada",C619,-C619))</f>
        <v/>
      </c>
      <c r="I619" s="21">
        <f>IF(A619="","",YEAR(A619)*100+MONTH(A619))</f>
        <v/>
      </c>
      <c r="J619" s="21">
        <f>IF(E619="Essencial",1,IF(E619="Dívidas",2,IF(E619="Importante",3,IF(E619="Quero",4,""))))</f>
        <v/>
      </c>
    </row>
    <row r="620">
      <c r="A620" s="19" t="n"/>
      <c r="C620" s="17" t="n"/>
      <c r="H620" s="20">
        <f>IF(OR(B620="",C620=""),0,IF(B620="Entrada",C620,-C620))</f>
        <v/>
      </c>
      <c r="I620" s="21">
        <f>IF(A620="","",YEAR(A620)*100+MONTH(A620))</f>
        <v/>
      </c>
      <c r="J620" s="21">
        <f>IF(E620="Essencial",1,IF(E620="Dívidas",2,IF(E620="Importante",3,IF(E620="Quero",4,""))))</f>
        <v/>
      </c>
    </row>
    <row r="621">
      <c r="A621" s="19" t="n"/>
      <c r="C621" s="17" t="n"/>
      <c r="H621" s="20">
        <f>IF(OR(B621="",C621=""),0,IF(B621="Entrada",C621,-C621))</f>
        <v/>
      </c>
      <c r="I621" s="21">
        <f>IF(A621="","",YEAR(A621)*100+MONTH(A621))</f>
        <v/>
      </c>
      <c r="J621" s="21">
        <f>IF(E621="Essencial",1,IF(E621="Dívidas",2,IF(E621="Importante",3,IF(E621="Quero",4,""))))</f>
        <v/>
      </c>
    </row>
    <row r="622">
      <c r="A622" s="19" t="n"/>
      <c r="C622" s="17" t="n"/>
      <c r="H622" s="20">
        <f>IF(OR(B622="",C622=""),0,IF(B622="Entrada",C622,-C622))</f>
        <v/>
      </c>
      <c r="I622" s="21">
        <f>IF(A622="","",YEAR(A622)*100+MONTH(A622))</f>
        <v/>
      </c>
      <c r="J622" s="21">
        <f>IF(E622="Essencial",1,IF(E622="Dívidas",2,IF(E622="Importante",3,IF(E622="Quero",4,""))))</f>
        <v/>
      </c>
    </row>
    <row r="623">
      <c r="A623" s="19" t="n"/>
      <c r="C623" s="17" t="n"/>
      <c r="H623" s="20">
        <f>IF(OR(B623="",C623=""),0,IF(B623="Entrada",C623,-C623))</f>
        <v/>
      </c>
      <c r="I623" s="21">
        <f>IF(A623="","",YEAR(A623)*100+MONTH(A623))</f>
        <v/>
      </c>
      <c r="J623" s="21">
        <f>IF(E623="Essencial",1,IF(E623="Dívidas",2,IF(E623="Importante",3,IF(E623="Quero",4,""))))</f>
        <v/>
      </c>
    </row>
    <row r="624">
      <c r="A624" s="19" t="n"/>
      <c r="C624" s="17" t="n"/>
      <c r="H624" s="20">
        <f>IF(OR(B624="",C624=""),0,IF(B624="Entrada",C624,-C624))</f>
        <v/>
      </c>
      <c r="I624" s="21">
        <f>IF(A624="","",YEAR(A624)*100+MONTH(A624))</f>
        <v/>
      </c>
      <c r="J624" s="21">
        <f>IF(E624="Essencial",1,IF(E624="Dívidas",2,IF(E624="Importante",3,IF(E624="Quero",4,""))))</f>
        <v/>
      </c>
    </row>
    <row r="625">
      <c r="A625" s="19" t="n"/>
      <c r="C625" s="17" t="n"/>
      <c r="H625" s="20">
        <f>IF(OR(B625="",C625=""),0,IF(B625="Entrada",C625,-C625))</f>
        <v/>
      </c>
      <c r="I625" s="21">
        <f>IF(A625="","",YEAR(A625)*100+MONTH(A625))</f>
        <v/>
      </c>
      <c r="J625" s="21">
        <f>IF(E625="Essencial",1,IF(E625="Dívidas",2,IF(E625="Importante",3,IF(E625="Quero",4,""))))</f>
        <v/>
      </c>
    </row>
    <row r="626">
      <c r="A626" s="19" t="n"/>
      <c r="C626" s="17" t="n"/>
      <c r="H626" s="20">
        <f>IF(OR(B626="",C626=""),0,IF(B626="Entrada",C626,-C626))</f>
        <v/>
      </c>
      <c r="I626" s="21">
        <f>IF(A626="","",YEAR(A626)*100+MONTH(A626))</f>
        <v/>
      </c>
      <c r="J626" s="21">
        <f>IF(E626="Essencial",1,IF(E626="Dívidas",2,IF(E626="Importante",3,IF(E626="Quero",4,""))))</f>
        <v/>
      </c>
    </row>
    <row r="627">
      <c r="A627" s="19" t="n"/>
      <c r="C627" s="17" t="n"/>
      <c r="H627" s="20">
        <f>IF(OR(B627="",C627=""),0,IF(B627="Entrada",C627,-C627))</f>
        <v/>
      </c>
      <c r="I627" s="21">
        <f>IF(A627="","",YEAR(A627)*100+MONTH(A627))</f>
        <v/>
      </c>
      <c r="J627" s="21">
        <f>IF(E627="Essencial",1,IF(E627="Dívidas",2,IF(E627="Importante",3,IF(E627="Quero",4,""))))</f>
        <v/>
      </c>
    </row>
    <row r="628">
      <c r="A628" s="19" t="n"/>
      <c r="C628" s="17" t="n"/>
      <c r="H628" s="20">
        <f>IF(OR(B628="",C628=""),0,IF(B628="Entrada",C628,-C628))</f>
        <v/>
      </c>
      <c r="I628" s="21">
        <f>IF(A628="","",YEAR(A628)*100+MONTH(A628))</f>
        <v/>
      </c>
      <c r="J628" s="21">
        <f>IF(E628="Essencial",1,IF(E628="Dívidas",2,IF(E628="Importante",3,IF(E628="Quero",4,""))))</f>
        <v/>
      </c>
    </row>
    <row r="629">
      <c r="A629" s="19" t="n"/>
      <c r="C629" s="17" t="n"/>
      <c r="H629" s="20">
        <f>IF(OR(B629="",C629=""),0,IF(B629="Entrada",C629,-C629))</f>
        <v/>
      </c>
      <c r="I629" s="21">
        <f>IF(A629="","",YEAR(A629)*100+MONTH(A629))</f>
        <v/>
      </c>
      <c r="J629" s="21">
        <f>IF(E629="Essencial",1,IF(E629="Dívidas",2,IF(E629="Importante",3,IF(E629="Quero",4,""))))</f>
        <v/>
      </c>
    </row>
    <row r="630">
      <c r="A630" s="19" t="n"/>
      <c r="C630" s="17" t="n"/>
      <c r="H630" s="20">
        <f>IF(OR(B630="",C630=""),0,IF(B630="Entrada",C630,-C630))</f>
        <v/>
      </c>
      <c r="I630" s="21">
        <f>IF(A630="","",YEAR(A630)*100+MONTH(A630))</f>
        <v/>
      </c>
      <c r="J630" s="21">
        <f>IF(E630="Essencial",1,IF(E630="Dívidas",2,IF(E630="Importante",3,IF(E630="Quero",4,""))))</f>
        <v/>
      </c>
    </row>
    <row r="631">
      <c r="A631" s="19" t="n"/>
      <c r="C631" s="17" t="n"/>
      <c r="H631" s="20">
        <f>IF(OR(B631="",C631=""),0,IF(B631="Entrada",C631,-C631))</f>
        <v/>
      </c>
      <c r="I631" s="21">
        <f>IF(A631="","",YEAR(A631)*100+MONTH(A631))</f>
        <v/>
      </c>
      <c r="J631" s="21">
        <f>IF(E631="Essencial",1,IF(E631="Dívidas",2,IF(E631="Importante",3,IF(E631="Quero",4,""))))</f>
        <v/>
      </c>
    </row>
    <row r="632">
      <c r="A632" s="19" t="n"/>
      <c r="C632" s="17" t="n"/>
      <c r="H632" s="20">
        <f>IF(OR(B632="",C632=""),0,IF(B632="Entrada",C632,-C632))</f>
        <v/>
      </c>
      <c r="I632" s="21">
        <f>IF(A632="","",YEAR(A632)*100+MONTH(A632))</f>
        <v/>
      </c>
      <c r="J632" s="21">
        <f>IF(E632="Essencial",1,IF(E632="Dívidas",2,IF(E632="Importante",3,IF(E632="Quero",4,""))))</f>
        <v/>
      </c>
    </row>
    <row r="633">
      <c r="A633" s="19" t="n"/>
      <c r="C633" s="17" t="n"/>
      <c r="H633" s="20">
        <f>IF(OR(B633="",C633=""),0,IF(B633="Entrada",C633,-C633))</f>
        <v/>
      </c>
      <c r="I633" s="21">
        <f>IF(A633="","",YEAR(A633)*100+MONTH(A633))</f>
        <v/>
      </c>
      <c r="J633" s="21">
        <f>IF(E633="Essencial",1,IF(E633="Dívidas",2,IF(E633="Importante",3,IF(E633="Quero",4,""))))</f>
        <v/>
      </c>
    </row>
    <row r="634">
      <c r="A634" s="19" t="n"/>
      <c r="C634" s="17" t="n"/>
      <c r="H634" s="20">
        <f>IF(OR(B634="",C634=""),0,IF(B634="Entrada",C634,-C634))</f>
        <v/>
      </c>
      <c r="I634" s="21">
        <f>IF(A634="","",YEAR(A634)*100+MONTH(A634))</f>
        <v/>
      </c>
      <c r="J634" s="21">
        <f>IF(E634="Essencial",1,IF(E634="Dívidas",2,IF(E634="Importante",3,IF(E634="Quero",4,""))))</f>
        <v/>
      </c>
    </row>
    <row r="635">
      <c r="A635" s="19" t="n"/>
      <c r="C635" s="17" t="n"/>
      <c r="H635" s="20">
        <f>IF(OR(B635="",C635=""),0,IF(B635="Entrada",C635,-C635))</f>
        <v/>
      </c>
      <c r="I635" s="21">
        <f>IF(A635="","",YEAR(A635)*100+MONTH(A635))</f>
        <v/>
      </c>
      <c r="J635" s="21">
        <f>IF(E635="Essencial",1,IF(E635="Dívidas",2,IF(E635="Importante",3,IF(E635="Quero",4,""))))</f>
        <v/>
      </c>
    </row>
    <row r="636">
      <c r="A636" s="19" t="n"/>
      <c r="C636" s="17" t="n"/>
      <c r="H636" s="20">
        <f>IF(OR(B636="",C636=""),0,IF(B636="Entrada",C636,-C636))</f>
        <v/>
      </c>
      <c r="I636" s="21">
        <f>IF(A636="","",YEAR(A636)*100+MONTH(A636))</f>
        <v/>
      </c>
      <c r="J636" s="21">
        <f>IF(E636="Essencial",1,IF(E636="Dívidas",2,IF(E636="Importante",3,IF(E636="Quero",4,""))))</f>
        <v/>
      </c>
    </row>
    <row r="637">
      <c r="A637" s="19" t="n"/>
      <c r="C637" s="17" t="n"/>
      <c r="H637" s="20">
        <f>IF(OR(B637="",C637=""),0,IF(B637="Entrada",C637,-C637))</f>
        <v/>
      </c>
      <c r="I637" s="21">
        <f>IF(A637="","",YEAR(A637)*100+MONTH(A637))</f>
        <v/>
      </c>
      <c r="J637" s="21">
        <f>IF(E637="Essencial",1,IF(E637="Dívidas",2,IF(E637="Importante",3,IF(E637="Quero",4,""))))</f>
        <v/>
      </c>
    </row>
    <row r="638">
      <c r="A638" s="19" t="n"/>
      <c r="C638" s="17" t="n"/>
      <c r="H638" s="20">
        <f>IF(OR(B638="",C638=""),0,IF(B638="Entrada",C638,-C638))</f>
        <v/>
      </c>
      <c r="I638" s="21">
        <f>IF(A638="","",YEAR(A638)*100+MONTH(A638))</f>
        <v/>
      </c>
      <c r="J638" s="21">
        <f>IF(E638="Essencial",1,IF(E638="Dívidas",2,IF(E638="Importante",3,IF(E638="Quero",4,""))))</f>
        <v/>
      </c>
    </row>
    <row r="639">
      <c r="A639" s="19" t="n"/>
      <c r="C639" s="17" t="n"/>
      <c r="H639" s="20">
        <f>IF(OR(B639="",C639=""),0,IF(B639="Entrada",C639,-C639))</f>
        <v/>
      </c>
      <c r="I639" s="21">
        <f>IF(A639="","",YEAR(A639)*100+MONTH(A639))</f>
        <v/>
      </c>
      <c r="J639" s="21">
        <f>IF(E639="Essencial",1,IF(E639="Dívidas",2,IF(E639="Importante",3,IF(E639="Quero",4,""))))</f>
        <v/>
      </c>
    </row>
    <row r="640">
      <c r="A640" s="19" t="n"/>
      <c r="C640" s="17" t="n"/>
      <c r="H640" s="20">
        <f>IF(OR(B640="",C640=""),0,IF(B640="Entrada",C640,-C640))</f>
        <v/>
      </c>
      <c r="I640" s="21">
        <f>IF(A640="","",YEAR(A640)*100+MONTH(A640))</f>
        <v/>
      </c>
      <c r="J640" s="21">
        <f>IF(E640="Essencial",1,IF(E640="Dívidas",2,IF(E640="Importante",3,IF(E640="Quero",4,""))))</f>
        <v/>
      </c>
    </row>
    <row r="641">
      <c r="A641" s="19" t="n"/>
      <c r="C641" s="17" t="n"/>
      <c r="H641" s="20">
        <f>IF(OR(B641="",C641=""),0,IF(B641="Entrada",C641,-C641))</f>
        <v/>
      </c>
      <c r="I641" s="21">
        <f>IF(A641="","",YEAR(A641)*100+MONTH(A641))</f>
        <v/>
      </c>
      <c r="J641" s="21">
        <f>IF(E641="Essencial",1,IF(E641="Dívidas",2,IF(E641="Importante",3,IF(E641="Quero",4,""))))</f>
        <v/>
      </c>
    </row>
    <row r="642">
      <c r="A642" s="19" t="n"/>
      <c r="C642" s="17" t="n"/>
      <c r="H642" s="20">
        <f>IF(OR(B642="",C642=""),0,IF(B642="Entrada",C642,-C642))</f>
        <v/>
      </c>
      <c r="I642" s="21">
        <f>IF(A642="","",YEAR(A642)*100+MONTH(A642))</f>
        <v/>
      </c>
      <c r="J642" s="21">
        <f>IF(E642="Essencial",1,IF(E642="Dívidas",2,IF(E642="Importante",3,IF(E642="Quero",4,""))))</f>
        <v/>
      </c>
    </row>
    <row r="643">
      <c r="A643" s="19" t="n"/>
      <c r="C643" s="17" t="n"/>
      <c r="H643" s="20">
        <f>IF(OR(B643="",C643=""),0,IF(B643="Entrada",C643,-C643))</f>
        <v/>
      </c>
      <c r="I643" s="21">
        <f>IF(A643="","",YEAR(A643)*100+MONTH(A643))</f>
        <v/>
      </c>
      <c r="J643" s="21">
        <f>IF(E643="Essencial",1,IF(E643="Dívidas",2,IF(E643="Importante",3,IF(E643="Quero",4,""))))</f>
        <v/>
      </c>
    </row>
    <row r="644">
      <c r="A644" s="19" t="n"/>
      <c r="C644" s="17" t="n"/>
      <c r="H644" s="20">
        <f>IF(OR(B644="",C644=""),0,IF(B644="Entrada",C644,-C644))</f>
        <v/>
      </c>
      <c r="I644" s="21">
        <f>IF(A644="","",YEAR(A644)*100+MONTH(A644))</f>
        <v/>
      </c>
      <c r="J644" s="21">
        <f>IF(E644="Essencial",1,IF(E644="Dívidas",2,IF(E644="Importante",3,IF(E644="Quero",4,""))))</f>
        <v/>
      </c>
    </row>
    <row r="645">
      <c r="A645" s="19" t="n"/>
      <c r="C645" s="17" t="n"/>
      <c r="H645" s="20">
        <f>IF(OR(B645="",C645=""),0,IF(B645="Entrada",C645,-C645))</f>
        <v/>
      </c>
      <c r="I645" s="21">
        <f>IF(A645="","",YEAR(A645)*100+MONTH(A645))</f>
        <v/>
      </c>
      <c r="J645" s="21">
        <f>IF(E645="Essencial",1,IF(E645="Dívidas",2,IF(E645="Importante",3,IF(E645="Quero",4,""))))</f>
        <v/>
      </c>
    </row>
    <row r="646">
      <c r="A646" s="19" t="n"/>
      <c r="C646" s="17" t="n"/>
      <c r="H646" s="20">
        <f>IF(OR(B646="",C646=""),0,IF(B646="Entrada",C646,-C646))</f>
        <v/>
      </c>
      <c r="I646" s="21">
        <f>IF(A646="","",YEAR(A646)*100+MONTH(A646))</f>
        <v/>
      </c>
      <c r="J646" s="21">
        <f>IF(E646="Essencial",1,IF(E646="Dívidas",2,IF(E646="Importante",3,IF(E646="Quero",4,""))))</f>
        <v/>
      </c>
    </row>
    <row r="647">
      <c r="A647" s="19" t="n"/>
      <c r="C647" s="17" t="n"/>
      <c r="H647" s="20">
        <f>IF(OR(B647="",C647=""),0,IF(B647="Entrada",C647,-C647))</f>
        <v/>
      </c>
      <c r="I647" s="21">
        <f>IF(A647="","",YEAR(A647)*100+MONTH(A647))</f>
        <v/>
      </c>
      <c r="J647" s="21">
        <f>IF(E647="Essencial",1,IF(E647="Dívidas",2,IF(E647="Importante",3,IF(E647="Quero",4,""))))</f>
        <v/>
      </c>
    </row>
    <row r="648">
      <c r="A648" s="19" t="n"/>
      <c r="C648" s="17" t="n"/>
      <c r="H648" s="20">
        <f>IF(OR(B648="",C648=""),0,IF(B648="Entrada",C648,-C648))</f>
        <v/>
      </c>
      <c r="I648" s="21">
        <f>IF(A648="","",YEAR(A648)*100+MONTH(A648))</f>
        <v/>
      </c>
      <c r="J648" s="21">
        <f>IF(E648="Essencial",1,IF(E648="Dívidas",2,IF(E648="Importante",3,IF(E648="Quero",4,""))))</f>
        <v/>
      </c>
    </row>
    <row r="649">
      <c r="A649" s="19" t="n"/>
      <c r="C649" s="17" t="n"/>
      <c r="H649" s="20">
        <f>IF(OR(B649="",C649=""),0,IF(B649="Entrada",C649,-C649))</f>
        <v/>
      </c>
      <c r="I649" s="21">
        <f>IF(A649="","",YEAR(A649)*100+MONTH(A649))</f>
        <v/>
      </c>
      <c r="J649" s="21">
        <f>IF(E649="Essencial",1,IF(E649="Dívidas",2,IF(E649="Importante",3,IF(E649="Quero",4,""))))</f>
        <v/>
      </c>
    </row>
    <row r="650">
      <c r="A650" s="19" t="n"/>
      <c r="C650" s="17" t="n"/>
      <c r="H650" s="20">
        <f>IF(OR(B650="",C650=""),0,IF(B650="Entrada",C650,-C650))</f>
        <v/>
      </c>
      <c r="I650" s="21">
        <f>IF(A650="","",YEAR(A650)*100+MONTH(A650))</f>
        <v/>
      </c>
      <c r="J650" s="21">
        <f>IF(E650="Essencial",1,IF(E650="Dívidas",2,IF(E650="Importante",3,IF(E650="Quero",4,""))))</f>
        <v/>
      </c>
    </row>
    <row r="651">
      <c r="A651" s="19" t="n"/>
      <c r="C651" s="17" t="n"/>
      <c r="H651" s="20">
        <f>IF(OR(B651="",C651=""),0,IF(B651="Entrada",C651,-C651))</f>
        <v/>
      </c>
      <c r="I651" s="21">
        <f>IF(A651="","",YEAR(A651)*100+MONTH(A651))</f>
        <v/>
      </c>
      <c r="J651" s="21">
        <f>IF(E651="Essencial",1,IF(E651="Dívidas",2,IF(E651="Importante",3,IF(E651="Quero",4,""))))</f>
        <v/>
      </c>
    </row>
    <row r="652">
      <c r="A652" s="19" t="n"/>
      <c r="C652" s="17" t="n"/>
      <c r="H652" s="20">
        <f>IF(OR(B652="",C652=""),0,IF(B652="Entrada",C652,-C652))</f>
        <v/>
      </c>
      <c r="I652" s="21">
        <f>IF(A652="","",YEAR(A652)*100+MONTH(A652))</f>
        <v/>
      </c>
      <c r="J652" s="21">
        <f>IF(E652="Essencial",1,IF(E652="Dívidas",2,IF(E652="Importante",3,IF(E652="Quero",4,""))))</f>
        <v/>
      </c>
    </row>
    <row r="653">
      <c r="A653" s="19" t="n"/>
      <c r="C653" s="17" t="n"/>
      <c r="H653" s="20">
        <f>IF(OR(B653="",C653=""),0,IF(B653="Entrada",C653,-C653))</f>
        <v/>
      </c>
      <c r="I653" s="21">
        <f>IF(A653="","",YEAR(A653)*100+MONTH(A653))</f>
        <v/>
      </c>
      <c r="J653" s="21">
        <f>IF(E653="Essencial",1,IF(E653="Dívidas",2,IF(E653="Importante",3,IF(E653="Quero",4,""))))</f>
        <v/>
      </c>
    </row>
    <row r="654">
      <c r="A654" s="19" t="n"/>
      <c r="C654" s="17" t="n"/>
      <c r="H654" s="20">
        <f>IF(OR(B654="",C654=""),0,IF(B654="Entrada",C654,-C654))</f>
        <v/>
      </c>
      <c r="I654" s="21">
        <f>IF(A654="","",YEAR(A654)*100+MONTH(A654))</f>
        <v/>
      </c>
      <c r="J654" s="21">
        <f>IF(E654="Essencial",1,IF(E654="Dívidas",2,IF(E654="Importante",3,IF(E654="Quero",4,""))))</f>
        <v/>
      </c>
    </row>
    <row r="655">
      <c r="A655" s="19" t="n"/>
      <c r="C655" s="17" t="n"/>
      <c r="H655" s="20">
        <f>IF(OR(B655="",C655=""),0,IF(B655="Entrada",C655,-C655))</f>
        <v/>
      </c>
      <c r="I655" s="21">
        <f>IF(A655="","",YEAR(A655)*100+MONTH(A655))</f>
        <v/>
      </c>
      <c r="J655" s="21">
        <f>IF(E655="Essencial",1,IF(E655="Dívidas",2,IF(E655="Importante",3,IF(E655="Quero",4,""))))</f>
        <v/>
      </c>
    </row>
    <row r="656">
      <c r="A656" s="19" t="n"/>
      <c r="C656" s="17" t="n"/>
      <c r="H656" s="20">
        <f>IF(OR(B656="",C656=""),0,IF(B656="Entrada",C656,-C656))</f>
        <v/>
      </c>
      <c r="I656" s="21">
        <f>IF(A656="","",YEAR(A656)*100+MONTH(A656))</f>
        <v/>
      </c>
      <c r="J656" s="21">
        <f>IF(E656="Essencial",1,IF(E656="Dívidas",2,IF(E656="Importante",3,IF(E656="Quero",4,""))))</f>
        <v/>
      </c>
    </row>
    <row r="657">
      <c r="A657" s="19" t="n"/>
      <c r="C657" s="17" t="n"/>
      <c r="H657" s="20">
        <f>IF(OR(B657="",C657=""),0,IF(B657="Entrada",C657,-C657))</f>
        <v/>
      </c>
      <c r="I657" s="21">
        <f>IF(A657="","",YEAR(A657)*100+MONTH(A657))</f>
        <v/>
      </c>
      <c r="J657" s="21">
        <f>IF(E657="Essencial",1,IF(E657="Dívidas",2,IF(E657="Importante",3,IF(E657="Quero",4,""))))</f>
        <v/>
      </c>
    </row>
    <row r="658">
      <c r="A658" s="19" t="n"/>
      <c r="C658" s="17" t="n"/>
      <c r="H658" s="20">
        <f>IF(OR(B658="",C658=""),0,IF(B658="Entrada",C658,-C658))</f>
        <v/>
      </c>
      <c r="I658" s="21">
        <f>IF(A658="","",YEAR(A658)*100+MONTH(A658))</f>
        <v/>
      </c>
      <c r="J658" s="21">
        <f>IF(E658="Essencial",1,IF(E658="Dívidas",2,IF(E658="Importante",3,IF(E658="Quero",4,""))))</f>
        <v/>
      </c>
    </row>
    <row r="659">
      <c r="A659" s="19" t="n"/>
      <c r="C659" s="17" t="n"/>
      <c r="H659" s="20">
        <f>IF(OR(B659="",C659=""),0,IF(B659="Entrada",C659,-C659))</f>
        <v/>
      </c>
      <c r="I659" s="21">
        <f>IF(A659="","",YEAR(A659)*100+MONTH(A659))</f>
        <v/>
      </c>
      <c r="J659" s="21">
        <f>IF(E659="Essencial",1,IF(E659="Dívidas",2,IF(E659="Importante",3,IF(E659="Quero",4,""))))</f>
        <v/>
      </c>
    </row>
    <row r="660">
      <c r="A660" s="19" t="n"/>
      <c r="C660" s="17" t="n"/>
      <c r="H660" s="20">
        <f>IF(OR(B660="",C660=""),0,IF(B660="Entrada",C660,-C660))</f>
        <v/>
      </c>
      <c r="I660" s="21">
        <f>IF(A660="","",YEAR(A660)*100+MONTH(A660))</f>
        <v/>
      </c>
      <c r="J660" s="21">
        <f>IF(E660="Essencial",1,IF(E660="Dívidas",2,IF(E660="Importante",3,IF(E660="Quero",4,""))))</f>
        <v/>
      </c>
    </row>
    <row r="661">
      <c r="A661" s="19" t="n"/>
      <c r="C661" s="17" t="n"/>
      <c r="H661" s="20">
        <f>IF(OR(B661="",C661=""),0,IF(B661="Entrada",C661,-C661))</f>
        <v/>
      </c>
      <c r="I661" s="21">
        <f>IF(A661="","",YEAR(A661)*100+MONTH(A661))</f>
        <v/>
      </c>
      <c r="J661" s="21">
        <f>IF(E661="Essencial",1,IF(E661="Dívidas",2,IF(E661="Importante",3,IF(E661="Quero",4,""))))</f>
        <v/>
      </c>
    </row>
    <row r="662">
      <c r="A662" s="19" t="n"/>
      <c r="C662" s="17" t="n"/>
      <c r="H662" s="20">
        <f>IF(OR(B662="",C662=""),0,IF(B662="Entrada",C662,-C662))</f>
        <v/>
      </c>
      <c r="I662" s="21">
        <f>IF(A662="","",YEAR(A662)*100+MONTH(A662))</f>
        <v/>
      </c>
      <c r="J662" s="21">
        <f>IF(E662="Essencial",1,IF(E662="Dívidas",2,IF(E662="Importante",3,IF(E662="Quero",4,""))))</f>
        <v/>
      </c>
    </row>
    <row r="663">
      <c r="A663" s="19" t="n"/>
      <c r="C663" s="17" t="n"/>
      <c r="H663" s="20">
        <f>IF(OR(B663="",C663=""),0,IF(B663="Entrada",C663,-C663))</f>
        <v/>
      </c>
      <c r="I663" s="21">
        <f>IF(A663="","",YEAR(A663)*100+MONTH(A663))</f>
        <v/>
      </c>
      <c r="J663" s="21">
        <f>IF(E663="Essencial",1,IF(E663="Dívidas",2,IF(E663="Importante",3,IF(E663="Quero",4,""))))</f>
        <v/>
      </c>
    </row>
    <row r="664">
      <c r="A664" s="19" t="n"/>
      <c r="C664" s="17" t="n"/>
      <c r="H664" s="20">
        <f>IF(OR(B664="",C664=""),0,IF(B664="Entrada",C664,-C664))</f>
        <v/>
      </c>
      <c r="I664" s="21">
        <f>IF(A664="","",YEAR(A664)*100+MONTH(A664))</f>
        <v/>
      </c>
      <c r="J664" s="21">
        <f>IF(E664="Essencial",1,IF(E664="Dívidas",2,IF(E664="Importante",3,IF(E664="Quero",4,""))))</f>
        <v/>
      </c>
    </row>
    <row r="665">
      <c r="A665" s="19" t="n"/>
      <c r="C665" s="17" t="n"/>
      <c r="H665" s="20">
        <f>IF(OR(B665="",C665=""),0,IF(B665="Entrada",C665,-C665))</f>
        <v/>
      </c>
      <c r="I665" s="21">
        <f>IF(A665="","",YEAR(A665)*100+MONTH(A665))</f>
        <v/>
      </c>
      <c r="J665" s="21">
        <f>IF(E665="Essencial",1,IF(E665="Dívidas",2,IF(E665="Importante",3,IF(E665="Quero",4,""))))</f>
        <v/>
      </c>
    </row>
    <row r="666">
      <c r="A666" s="19" t="n"/>
      <c r="C666" s="17" t="n"/>
      <c r="H666" s="20">
        <f>IF(OR(B666="",C666=""),0,IF(B666="Entrada",C666,-C666))</f>
        <v/>
      </c>
      <c r="I666" s="21">
        <f>IF(A666="","",YEAR(A666)*100+MONTH(A666))</f>
        <v/>
      </c>
      <c r="J666" s="21">
        <f>IF(E666="Essencial",1,IF(E666="Dívidas",2,IF(E666="Importante",3,IF(E666="Quero",4,""))))</f>
        <v/>
      </c>
    </row>
    <row r="667">
      <c r="A667" s="19" t="n"/>
      <c r="C667" s="17" t="n"/>
      <c r="H667" s="20">
        <f>IF(OR(B667="",C667=""),0,IF(B667="Entrada",C667,-C667))</f>
        <v/>
      </c>
      <c r="I667" s="21">
        <f>IF(A667="","",YEAR(A667)*100+MONTH(A667))</f>
        <v/>
      </c>
      <c r="J667" s="21">
        <f>IF(E667="Essencial",1,IF(E667="Dívidas",2,IF(E667="Importante",3,IF(E667="Quero",4,""))))</f>
        <v/>
      </c>
    </row>
    <row r="668">
      <c r="A668" s="19" t="n"/>
      <c r="C668" s="17" t="n"/>
      <c r="H668" s="20">
        <f>IF(OR(B668="",C668=""),0,IF(B668="Entrada",C668,-C668))</f>
        <v/>
      </c>
      <c r="I668" s="21">
        <f>IF(A668="","",YEAR(A668)*100+MONTH(A668))</f>
        <v/>
      </c>
      <c r="J668" s="21">
        <f>IF(E668="Essencial",1,IF(E668="Dívidas",2,IF(E668="Importante",3,IF(E668="Quero",4,""))))</f>
        <v/>
      </c>
    </row>
    <row r="669">
      <c r="A669" s="19" t="n"/>
      <c r="C669" s="17" t="n"/>
      <c r="H669" s="20">
        <f>IF(OR(B669="",C669=""),0,IF(B669="Entrada",C669,-C669))</f>
        <v/>
      </c>
      <c r="I669" s="21">
        <f>IF(A669="","",YEAR(A669)*100+MONTH(A669))</f>
        <v/>
      </c>
      <c r="J669" s="21">
        <f>IF(E669="Essencial",1,IF(E669="Dívidas",2,IF(E669="Importante",3,IF(E669="Quero",4,""))))</f>
        <v/>
      </c>
    </row>
    <row r="670">
      <c r="A670" s="19" t="n"/>
      <c r="C670" s="17" t="n"/>
      <c r="H670" s="20">
        <f>IF(OR(B670="",C670=""),0,IF(B670="Entrada",C670,-C670))</f>
        <v/>
      </c>
      <c r="I670" s="21">
        <f>IF(A670="","",YEAR(A670)*100+MONTH(A670))</f>
        <v/>
      </c>
      <c r="J670" s="21">
        <f>IF(E670="Essencial",1,IF(E670="Dívidas",2,IF(E670="Importante",3,IF(E670="Quero",4,""))))</f>
        <v/>
      </c>
    </row>
    <row r="671">
      <c r="A671" s="19" t="n"/>
      <c r="C671" s="17" t="n"/>
      <c r="H671" s="20">
        <f>IF(OR(B671="",C671=""),0,IF(B671="Entrada",C671,-C671))</f>
        <v/>
      </c>
      <c r="I671" s="21">
        <f>IF(A671="","",YEAR(A671)*100+MONTH(A671))</f>
        <v/>
      </c>
      <c r="J671" s="21">
        <f>IF(E671="Essencial",1,IF(E671="Dívidas",2,IF(E671="Importante",3,IF(E671="Quero",4,""))))</f>
        <v/>
      </c>
    </row>
    <row r="672">
      <c r="A672" s="19" t="n"/>
      <c r="C672" s="17" t="n"/>
      <c r="H672" s="20">
        <f>IF(OR(B672="",C672=""),0,IF(B672="Entrada",C672,-C672))</f>
        <v/>
      </c>
      <c r="I672" s="21">
        <f>IF(A672="","",YEAR(A672)*100+MONTH(A672))</f>
        <v/>
      </c>
      <c r="J672" s="21">
        <f>IF(E672="Essencial",1,IF(E672="Dívidas",2,IF(E672="Importante",3,IF(E672="Quero",4,""))))</f>
        <v/>
      </c>
    </row>
    <row r="673">
      <c r="A673" s="19" t="n"/>
      <c r="C673" s="17" t="n"/>
      <c r="H673" s="20">
        <f>IF(OR(B673="",C673=""),0,IF(B673="Entrada",C673,-C673))</f>
        <v/>
      </c>
      <c r="I673" s="21">
        <f>IF(A673="","",YEAR(A673)*100+MONTH(A673))</f>
        <v/>
      </c>
      <c r="J673" s="21">
        <f>IF(E673="Essencial",1,IF(E673="Dívidas",2,IF(E673="Importante",3,IF(E673="Quero",4,""))))</f>
        <v/>
      </c>
    </row>
    <row r="674">
      <c r="A674" s="19" t="n"/>
      <c r="C674" s="17" t="n"/>
      <c r="H674" s="20">
        <f>IF(OR(B674="",C674=""),0,IF(B674="Entrada",C674,-C674))</f>
        <v/>
      </c>
      <c r="I674" s="21">
        <f>IF(A674="","",YEAR(A674)*100+MONTH(A674))</f>
        <v/>
      </c>
      <c r="J674" s="21">
        <f>IF(E674="Essencial",1,IF(E674="Dívidas",2,IF(E674="Importante",3,IF(E674="Quero",4,""))))</f>
        <v/>
      </c>
    </row>
    <row r="675">
      <c r="A675" s="19" t="n"/>
      <c r="C675" s="17" t="n"/>
      <c r="H675" s="20">
        <f>IF(OR(B675="",C675=""),0,IF(B675="Entrada",C675,-C675))</f>
        <v/>
      </c>
      <c r="I675" s="21">
        <f>IF(A675="","",YEAR(A675)*100+MONTH(A675))</f>
        <v/>
      </c>
      <c r="J675" s="21">
        <f>IF(E675="Essencial",1,IF(E675="Dívidas",2,IF(E675="Importante",3,IF(E675="Quero",4,""))))</f>
        <v/>
      </c>
    </row>
    <row r="676">
      <c r="A676" s="19" t="n"/>
      <c r="C676" s="17" t="n"/>
      <c r="H676" s="20">
        <f>IF(OR(B676="",C676=""),0,IF(B676="Entrada",C676,-C676))</f>
        <v/>
      </c>
      <c r="I676" s="21">
        <f>IF(A676="","",YEAR(A676)*100+MONTH(A676))</f>
        <v/>
      </c>
      <c r="J676" s="21">
        <f>IF(E676="Essencial",1,IF(E676="Dívidas",2,IF(E676="Importante",3,IF(E676="Quero",4,""))))</f>
        <v/>
      </c>
    </row>
    <row r="677">
      <c r="A677" s="19" t="n"/>
      <c r="C677" s="17" t="n"/>
      <c r="H677" s="20">
        <f>IF(OR(B677="",C677=""),0,IF(B677="Entrada",C677,-C677))</f>
        <v/>
      </c>
      <c r="I677" s="21">
        <f>IF(A677="","",YEAR(A677)*100+MONTH(A677))</f>
        <v/>
      </c>
      <c r="J677" s="21">
        <f>IF(E677="Essencial",1,IF(E677="Dívidas",2,IF(E677="Importante",3,IF(E677="Quero",4,""))))</f>
        <v/>
      </c>
    </row>
    <row r="678">
      <c r="A678" s="19" t="n"/>
      <c r="C678" s="17" t="n"/>
      <c r="H678" s="20">
        <f>IF(OR(B678="",C678=""),0,IF(B678="Entrada",C678,-C678))</f>
        <v/>
      </c>
      <c r="I678" s="21">
        <f>IF(A678="","",YEAR(A678)*100+MONTH(A678))</f>
        <v/>
      </c>
      <c r="J678" s="21">
        <f>IF(E678="Essencial",1,IF(E678="Dívidas",2,IF(E678="Importante",3,IF(E678="Quero",4,""))))</f>
        <v/>
      </c>
    </row>
    <row r="679">
      <c r="A679" s="19" t="n"/>
      <c r="C679" s="17" t="n"/>
      <c r="H679" s="20">
        <f>IF(OR(B679="",C679=""),0,IF(B679="Entrada",C679,-C679))</f>
        <v/>
      </c>
      <c r="I679" s="21">
        <f>IF(A679="","",YEAR(A679)*100+MONTH(A679))</f>
        <v/>
      </c>
      <c r="J679" s="21">
        <f>IF(E679="Essencial",1,IF(E679="Dívidas",2,IF(E679="Importante",3,IF(E679="Quero",4,""))))</f>
        <v/>
      </c>
    </row>
    <row r="680">
      <c r="A680" s="19" t="n"/>
      <c r="C680" s="17" t="n"/>
      <c r="H680" s="20">
        <f>IF(OR(B680="",C680=""),0,IF(B680="Entrada",C680,-C680))</f>
        <v/>
      </c>
      <c r="I680" s="21">
        <f>IF(A680="","",YEAR(A680)*100+MONTH(A680))</f>
        <v/>
      </c>
      <c r="J680" s="21">
        <f>IF(E680="Essencial",1,IF(E680="Dívidas",2,IF(E680="Importante",3,IF(E680="Quero",4,""))))</f>
        <v/>
      </c>
    </row>
    <row r="681">
      <c r="A681" s="19" t="n"/>
      <c r="C681" s="17" t="n"/>
      <c r="H681" s="20">
        <f>IF(OR(B681="",C681=""),0,IF(B681="Entrada",C681,-C681))</f>
        <v/>
      </c>
      <c r="I681" s="21">
        <f>IF(A681="","",YEAR(A681)*100+MONTH(A681))</f>
        <v/>
      </c>
      <c r="J681" s="21">
        <f>IF(E681="Essencial",1,IF(E681="Dívidas",2,IF(E681="Importante",3,IF(E681="Quero",4,""))))</f>
        <v/>
      </c>
    </row>
    <row r="682">
      <c r="A682" s="19" t="n"/>
      <c r="C682" s="17" t="n"/>
      <c r="H682" s="20">
        <f>IF(OR(B682="",C682=""),0,IF(B682="Entrada",C682,-C682))</f>
        <v/>
      </c>
      <c r="I682" s="21">
        <f>IF(A682="","",YEAR(A682)*100+MONTH(A682))</f>
        <v/>
      </c>
      <c r="J682" s="21">
        <f>IF(E682="Essencial",1,IF(E682="Dívidas",2,IF(E682="Importante",3,IF(E682="Quero",4,""))))</f>
        <v/>
      </c>
    </row>
    <row r="683">
      <c r="A683" s="19" t="n"/>
      <c r="C683" s="17" t="n"/>
      <c r="H683" s="20">
        <f>IF(OR(B683="",C683=""),0,IF(B683="Entrada",C683,-C683))</f>
        <v/>
      </c>
      <c r="I683" s="21">
        <f>IF(A683="","",YEAR(A683)*100+MONTH(A683))</f>
        <v/>
      </c>
      <c r="J683" s="21">
        <f>IF(E683="Essencial",1,IF(E683="Dívidas",2,IF(E683="Importante",3,IF(E683="Quero",4,""))))</f>
        <v/>
      </c>
    </row>
    <row r="684">
      <c r="A684" s="19" t="n"/>
      <c r="C684" s="17" t="n"/>
      <c r="H684" s="20">
        <f>IF(OR(B684="",C684=""),0,IF(B684="Entrada",C684,-C684))</f>
        <v/>
      </c>
      <c r="I684" s="21">
        <f>IF(A684="","",YEAR(A684)*100+MONTH(A684))</f>
        <v/>
      </c>
      <c r="J684" s="21">
        <f>IF(E684="Essencial",1,IF(E684="Dívidas",2,IF(E684="Importante",3,IF(E684="Quero",4,""))))</f>
        <v/>
      </c>
    </row>
    <row r="685">
      <c r="A685" s="19" t="n"/>
      <c r="C685" s="17" t="n"/>
      <c r="H685" s="20">
        <f>IF(OR(B685="",C685=""),0,IF(B685="Entrada",C685,-C685))</f>
        <v/>
      </c>
      <c r="I685" s="21">
        <f>IF(A685="","",YEAR(A685)*100+MONTH(A685))</f>
        <v/>
      </c>
      <c r="J685" s="21">
        <f>IF(E685="Essencial",1,IF(E685="Dívidas",2,IF(E685="Importante",3,IF(E685="Quero",4,""))))</f>
        <v/>
      </c>
    </row>
    <row r="686">
      <c r="A686" s="19" t="n"/>
      <c r="C686" s="17" t="n"/>
      <c r="H686" s="20">
        <f>IF(OR(B686="",C686=""),0,IF(B686="Entrada",C686,-C686))</f>
        <v/>
      </c>
      <c r="I686" s="21">
        <f>IF(A686="","",YEAR(A686)*100+MONTH(A686))</f>
        <v/>
      </c>
      <c r="J686" s="21">
        <f>IF(E686="Essencial",1,IF(E686="Dívidas",2,IF(E686="Importante",3,IF(E686="Quero",4,""))))</f>
        <v/>
      </c>
    </row>
    <row r="687">
      <c r="A687" s="19" t="n"/>
      <c r="C687" s="17" t="n"/>
      <c r="H687" s="20">
        <f>IF(OR(B687="",C687=""),0,IF(B687="Entrada",C687,-C687))</f>
        <v/>
      </c>
      <c r="I687" s="21">
        <f>IF(A687="","",YEAR(A687)*100+MONTH(A687))</f>
        <v/>
      </c>
      <c r="J687" s="21">
        <f>IF(E687="Essencial",1,IF(E687="Dívidas",2,IF(E687="Importante",3,IF(E687="Quero",4,""))))</f>
        <v/>
      </c>
    </row>
    <row r="688">
      <c r="A688" s="19" t="n"/>
      <c r="C688" s="17" t="n"/>
      <c r="H688" s="20">
        <f>IF(OR(B688="",C688=""),0,IF(B688="Entrada",C688,-C688))</f>
        <v/>
      </c>
      <c r="I688" s="21">
        <f>IF(A688="","",YEAR(A688)*100+MONTH(A688))</f>
        <v/>
      </c>
      <c r="J688" s="21">
        <f>IF(E688="Essencial",1,IF(E688="Dívidas",2,IF(E688="Importante",3,IF(E688="Quero",4,""))))</f>
        <v/>
      </c>
    </row>
    <row r="689">
      <c r="A689" s="19" t="n"/>
      <c r="C689" s="17" t="n"/>
      <c r="H689" s="20">
        <f>IF(OR(B689="",C689=""),0,IF(B689="Entrada",C689,-C689))</f>
        <v/>
      </c>
      <c r="I689" s="21">
        <f>IF(A689="","",YEAR(A689)*100+MONTH(A689))</f>
        <v/>
      </c>
      <c r="J689" s="21">
        <f>IF(E689="Essencial",1,IF(E689="Dívidas",2,IF(E689="Importante",3,IF(E689="Quero",4,""))))</f>
        <v/>
      </c>
    </row>
    <row r="690">
      <c r="A690" s="19" t="n"/>
      <c r="C690" s="17" t="n"/>
      <c r="H690" s="20">
        <f>IF(OR(B690="",C690=""),0,IF(B690="Entrada",C690,-C690))</f>
        <v/>
      </c>
      <c r="I690" s="21">
        <f>IF(A690="","",YEAR(A690)*100+MONTH(A690))</f>
        <v/>
      </c>
      <c r="J690" s="21">
        <f>IF(E690="Essencial",1,IF(E690="Dívidas",2,IF(E690="Importante",3,IF(E690="Quero",4,""))))</f>
        <v/>
      </c>
    </row>
    <row r="691">
      <c r="A691" s="19" t="n"/>
      <c r="C691" s="17" t="n"/>
      <c r="H691" s="20">
        <f>IF(OR(B691="",C691=""),0,IF(B691="Entrada",C691,-C691))</f>
        <v/>
      </c>
      <c r="I691" s="21">
        <f>IF(A691="","",YEAR(A691)*100+MONTH(A691))</f>
        <v/>
      </c>
      <c r="J691" s="21">
        <f>IF(E691="Essencial",1,IF(E691="Dívidas",2,IF(E691="Importante",3,IF(E691="Quero",4,""))))</f>
        <v/>
      </c>
    </row>
    <row r="692">
      <c r="A692" s="19" t="n"/>
      <c r="C692" s="17" t="n"/>
      <c r="H692" s="20">
        <f>IF(OR(B692="",C692=""),0,IF(B692="Entrada",C692,-C692))</f>
        <v/>
      </c>
      <c r="I692" s="21">
        <f>IF(A692="","",YEAR(A692)*100+MONTH(A692))</f>
        <v/>
      </c>
      <c r="J692" s="21">
        <f>IF(E692="Essencial",1,IF(E692="Dívidas",2,IF(E692="Importante",3,IF(E692="Quero",4,""))))</f>
        <v/>
      </c>
    </row>
    <row r="693">
      <c r="A693" s="19" t="n"/>
      <c r="C693" s="17" t="n"/>
      <c r="H693" s="20">
        <f>IF(OR(B693="",C693=""),0,IF(B693="Entrada",C693,-C693))</f>
        <v/>
      </c>
      <c r="I693" s="21">
        <f>IF(A693="","",YEAR(A693)*100+MONTH(A693))</f>
        <v/>
      </c>
      <c r="J693" s="21">
        <f>IF(E693="Essencial",1,IF(E693="Dívidas",2,IF(E693="Importante",3,IF(E693="Quero",4,""))))</f>
        <v/>
      </c>
    </row>
    <row r="694">
      <c r="A694" s="19" t="n"/>
      <c r="C694" s="17" t="n"/>
      <c r="H694" s="20">
        <f>IF(OR(B694="",C694=""),0,IF(B694="Entrada",C694,-C694))</f>
        <v/>
      </c>
      <c r="I694" s="21">
        <f>IF(A694="","",YEAR(A694)*100+MONTH(A694))</f>
        <v/>
      </c>
      <c r="J694" s="21">
        <f>IF(E694="Essencial",1,IF(E694="Dívidas",2,IF(E694="Importante",3,IF(E694="Quero",4,""))))</f>
        <v/>
      </c>
    </row>
    <row r="695">
      <c r="A695" s="19" t="n"/>
      <c r="C695" s="17" t="n"/>
      <c r="H695" s="20">
        <f>IF(OR(B695="",C695=""),0,IF(B695="Entrada",C695,-C695))</f>
        <v/>
      </c>
      <c r="I695" s="21">
        <f>IF(A695="","",YEAR(A695)*100+MONTH(A695))</f>
        <v/>
      </c>
      <c r="J695" s="21">
        <f>IF(E695="Essencial",1,IF(E695="Dívidas",2,IF(E695="Importante",3,IF(E695="Quero",4,""))))</f>
        <v/>
      </c>
    </row>
    <row r="696">
      <c r="A696" s="19" t="n"/>
      <c r="C696" s="17" t="n"/>
      <c r="H696" s="20">
        <f>IF(OR(B696="",C696=""),0,IF(B696="Entrada",C696,-C696))</f>
        <v/>
      </c>
      <c r="I696" s="21">
        <f>IF(A696="","",YEAR(A696)*100+MONTH(A696))</f>
        <v/>
      </c>
      <c r="J696" s="21">
        <f>IF(E696="Essencial",1,IF(E696="Dívidas",2,IF(E696="Importante",3,IF(E696="Quero",4,""))))</f>
        <v/>
      </c>
    </row>
    <row r="697">
      <c r="A697" s="19" t="n"/>
      <c r="C697" s="17" t="n"/>
      <c r="H697" s="20">
        <f>IF(OR(B697="",C697=""),0,IF(B697="Entrada",C697,-C697))</f>
        <v/>
      </c>
      <c r="I697" s="21">
        <f>IF(A697="","",YEAR(A697)*100+MONTH(A697))</f>
        <v/>
      </c>
      <c r="J697" s="21">
        <f>IF(E697="Essencial",1,IF(E697="Dívidas",2,IF(E697="Importante",3,IF(E697="Quero",4,""))))</f>
        <v/>
      </c>
    </row>
    <row r="698">
      <c r="A698" s="19" t="n"/>
      <c r="C698" s="17" t="n"/>
      <c r="H698" s="20">
        <f>IF(OR(B698="",C698=""),0,IF(B698="Entrada",C698,-C698))</f>
        <v/>
      </c>
      <c r="I698" s="21">
        <f>IF(A698="","",YEAR(A698)*100+MONTH(A698))</f>
        <v/>
      </c>
      <c r="J698" s="21">
        <f>IF(E698="Essencial",1,IF(E698="Dívidas",2,IF(E698="Importante",3,IF(E698="Quero",4,""))))</f>
        <v/>
      </c>
    </row>
    <row r="699">
      <c r="A699" s="19" t="n"/>
      <c r="C699" s="17" t="n"/>
      <c r="H699" s="20">
        <f>IF(OR(B699="",C699=""),0,IF(B699="Entrada",C699,-C699))</f>
        <v/>
      </c>
      <c r="I699" s="21">
        <f>IF(A699="","",YEAR(A699)*100+MONTH(A699))</f>
        <v/>
      </c>
      <c r="J699" s="21">
        <f>IF(E699="Essencial",1,IF(E699="Dívidas",2,IF(E699="Importante",3,IF(E699="Quero",4,""))))</f>
        <v/>
      </c>
    </row>
    <row r="700">
      <c r="A700" s="19" t="n"/>
      <c r="C700" s="17" t="n"/>
      <c r="H700" s="20">
        <f>IF(OR(B700="",C700=""),0,IF(B700="Entrada",C700,-C700))</f>
        <v/>
      </c>
      <c r="I700" s="21">
        <f>IF(A700="","",YEAR(A700)*100+MONTH(A700))</f>
        <v/>
      </c>
      <c r="J700" s="21">
        <f>IF(E700="Essencial",1,IF(E700="Dívidas",2,IF(E700="Importante",3,IF(E700="Quero",4,""))))</f>
        <v/>
      </c>
    </row>
    <row r="701">
      <c r="A701" s="19" t="n"/>
      <c r="C701" s="17" t="n"/>
      <c r="H701" s="20">
        <f>IF(OR(B701="",C701=""),0,IF(B701="Entrada",C701,-C701))</f>
        <v/>
      </c>
      <c r="I701" s="21">
        <f>IF(A701="","",YEAR(A701)*100+MONTH(A701))</f>
        <v/>
      </c>
      <c r="J701" s="21">
        <f>IF(E701="Essencial",1,IF(E701="Dívidas",2,IF(E701="Importante",3,IF(E701="Quero",4,""))))</f>
        <v/>
      </c>
    </row>
    <row r="702">
      <c r="A702" s="19" t="n"/>
      <c r="C702" s="17" t="n"/>
      <c r="H702" s="20">
        <f>IF(OR(B702="",C702=""),0,IF(B702="Entrada",C702,-C702))</f>
        <v/>
      </c>
      <c r="I702" s="21">
        <f>IF(A702="","",YEAR(A702)*100+MONTH(A702))</f>
        <v/>
      </c>
      <c r="J702" s="21">
        <f>IF(E702="Essencial",1,IF(E702="Dívidas",2,IF(E702="Importante",3,IF(E702="Quero",4,""))))</f>
        <v/>
      </c>
    </row>
    <row r="703">
      <c r="A703" s="19" t="n"/>
      <c r="C703" s="17" t="n"/>
      <c r="H703" s="20">
        <f>IF(OR(B703="",C703=""),0,IF(B703="Entrada",C703,-C703))</f>
        <v/>
      </c>
      <c r="I703" s="21">
        <f>IF(A703="","",YEAR(A703)*100+MONTH(A703))</f>
        <v/>
      </c>
      <c r="J703" s="21">
        <f>IF(E703="Essencial",1,IF(E703="Dívidas",2,IF(E703="Importante",3,IF(E703="Quero",4,""))))</f>
        <v/>
      </c>
    </row>
    <row r="704">
      <c r="A704" s="19" t="n"/>
      <c r="C704" s="17" t="n"/>
      <c r="H704" s="20">
        <f>IF(OR(B704="",C704=""),0,IF(B704="Entrada",C704,-C704))</f>
        <v/>
      </c>
      <c r="I704" s="21">
        <f>IF(A704="","",YEAR(A704)*100+MONTH(A704))</f>
        <v/>
      </c>
      <c r="J704" s="21">
        <f>IF(E704="Essencial",1,IF(E704="Dívidas",2,IF(E704="Importante",3,IF(E704="Quero",4,""))))</f>
        <v/>
      </c>
    </row>
    <row r="705">
      <c r="A705" s="19" t="n"/>
      <c r="C705" s="17" t="n"/>
      <c r="H705" s="20">
        <f>IF(OR(B705="",C705=""),0,IF(B705="Entrada",C705,-C705))</f>
        <v/>
      </c>
      <c r="I705" s="21">
        <f>IF(A705="","",YEAR(A705)*100+MONTH(A705))</f>
        <v/>
      </c>
      <c r="J705" s="21">
        <f>IF(E705="Essencial",1,IF(E705="Dívidas",2,IF(E705="Importante",3,IF(E705="Quero",4,""))))</f>
        <v/>
      </c>
    </row>
    <row r="706">
      <c r="A706" s="19" t="n"/>
      <c r="C706" s="17" t="n"/>
      <c r="H706" s="20">
        <f>IF(OR(B706="",C706=""),0,IF(B706="Entrada",C706,-C706))</f>
        <v/>
      </c>
      <c r="I706" s="21">
        <f>IF(A706="","",YEAR(A706)*100+MONTH(A706))</f>
        <v/>
      </c>
      <c r="J706" s="21">
        <f>IF(E706="Essencial",1,IF(E706="Dívidas",2,IF(E706="Importante",3,IF(E706="Quero",4,""))))</f>
        <v/>
      </c>
    </row>
    <row r="707">
      <c r="A707" s="19" t="n"/>
      <c r="C707" s="17" t="n"/>
      <c r="H707" s="20">
        <f>IF(OR(B707="",C707=""),0,IF(B707="Entrada",C707,-C707))</f>
        <v/>
      </c>
      <c r="I707" s="21">
        <f>IF(A707="","",YEAR(A707)*100+MONTH(A707))</f>
        <v/>
      </c>
      <c r="J707" s="21">
        <f>IF(E707="Essencial",1,IF(E707="Dívidas",2,IF(E707="Importante",3,IF(E707="Quero",4,""))))</f>
        <v/>
      </c>
    </row>
    <row r="708">
      <c r="A708" s="19" t="n"/>
      <c r="C708" s="17" t="n"/>
      <c r="H708" s="20">
        <f>IF(OR(B708="",C708=""),0,IF(B708="Entrada",C708,-C708))</f>
        <v/>
      </c>
      <c r="I708" s="21">
        <f>IF(A708="","",YEAR(A708)*100+MONTH(A708))</f>
        <v/>
      </c>
      <c r="J708" s="21">
        <f>IF(E708="Essencial",1,IF(E708="Dívidas",2,IF(E708="Importante",3,IF(E708="Quero",4,""))))</f>
        <v/>
      </c>
    </row>
    <row r="709">
      <c r="A709" s="19" t="n"/>
      <c r="C709" s="17" t="n"/>
      <c r="H709" s="20">
        <f>IF(OR(B709="",C709=""),0,IF(B709="Entrada",C709,-C709))</f>
        <v/>
      </c>
      <c r="I709" s="21">
        <f>IF(A709="","",YEAR(A709)*100+MONTH(A709))</f>
        <v/>
      </c>
      <c r="J709" s="21">
        <f>IF(E709="Essencial",1,IF(E709="Dívidas",2,IF(E709="Importante",3,IF(E709="Quero",4,""))))</f>
        <v/>
      </c>
    </row>
    <row r="710">
      <c r="A710" s="19" t="n"/>
      <c r="C710" s="17" t="n"/>
      <c r="H710" s="20">
        <f>IF(OR(B710="",C710=""),0,IF(B710="Entrada",C710,-C710))</f>
        <v/>
      </c>
      <c r="I710" s="21">
        <f>IF(A710="","",YEAR(A710)*100+MONTH(A710))</f>
        <v/>
      </c>
      <c r="J710" s="21">
        <f>IF(E710="Essencial",1,IF(E710="Dívidas",2,IF(E710="Importante",3,IF(E710="Quero",4,""))))</f>
        <v/>
      </c>
    </row>
    <row r="711">
      <c r="A711" s="19" t="n"/>
      <c r="C711" s="17" t="n"/>
      <c r="H711" s="20">
        <f>IF(OR(B711="",C711=""),0,IF(B711="Entrada",C711,-C711))</f>
        <v/>
      </c>
      <c r="I711" s="21">
        <f>IF(A711="","",YEAR(A711)*100+MONTH(A711))</f>
        <v/>
      </c>
      <c r="J711" s="21">
        <f>IF(E711="Essencial",1,IF(E711="Dívidas",2,IF(E711="Importante",3,IF(E711="Quero",4,""))))</f>
        <v/>
      </c>
    </row>
    <row r="712">
      <c r="A712" s="19" t="n"/>
      <c r="C712" s="17" t="n"/>
      <c r="H712" s="20">
        <f>IF(OR(B712="",C712=""),0,IF(B712="Entrada",C712,-C712))</f>
        <v/>
      </c>
      <c r="I712" s="21">
        <f>IF(A712="","",YEAR(A712)*100+MONTH(A712))</f>
        <v/>
      </c>
      <c r="J712" s="21">
        <f>IF(E712="Essencial",1,IF(E712="Dívidas",2,IF(E712="Importante",3,IF(E712="Quero",4,""))))</f>
        <v/>
      </c>
    </row>
    <row r="713">
      <c r="A713" s="19" t="n"/>
      <c r="C713" s="17" t="n"/>
      <c r="H713" s="20">
        <f>IF(OR(B713="",C713=""),0,IF(B713="Entrada",C713,-C713))</f>
        <v/>
      </c>
      <c r="I713" s="21">
        <f>IF(A713="","",YEAR(A713)*100+MONTH(A713))</f>
        <v/>
      </c>
      <c r="J713" s="21">
        <f>IF(E713="Essencial",1,IF(E713="Dívidas",2,IF(E713="Importante",3,IF(E713="Quero",4,""))))</f>
        <v/>
      </c>
    </row>
    <row r="714">
      <c r="A714" s="19" t="n"/>
      <c r="C714" s="17" t="n"/>
      <c r="H714" s="20">
        <f>IF(OR(B714="",C714=""),0,IF(B714="Entrada",C714,-C714))</f>
        <v/>
      </c>
      <c r="I714" s="21">
        <f>IF(A714="","",YEAR(A714)*100+MONTH(A714))</f>
        <v/>
      </c>
      <c r="J714" s="21">
        <f>IF(E714="Essencial",1,IF(E714="Dívidas",2,IF(E714="Importante",3,IF(E714="Quero",4,""))))</f>
        <v/>
      </c>
    </row>
    <row r="715">
      <c r="A715" s="19" t="n"/>
      <c r="C715" s="17" t="n"/>
      <c r="H715" s="20">
        <f>IF(OR(B715="",C715=""),0,IF(B715="Entrada",C715,-C715))</f>
        <v/>
      </c>
      <c r="I715" s="21">
        <f>IF(A715="","",YEAR(A715)*100+MONTH(A715))</f>
        <v/>
      </c>
      <c r="J715" s="21">
        <f>IF(E715="Essencial",1,IF(E715="Dívidas",2,IF(E715="Importante",3,IF(E715="Quero",4,""))))</f>
        <v/>
      </c>
    </row>
    <row r="716">
      <c r="A716" s="19" t="n"/>
      <c r="C716" s="17" t="n"/>
      <c r="H716" s="20">
        <f>IF(OR(B716="",C716=""),0,IF(B716="Entrada",C716,-C716))</f>
        <v/>
      </c>
      <c r="I716" s="21">
        <f>IF(A716="","",YEAR(A716)*100+MONTH(A716))</f>
        <v/>
      </c>
      <c r="J716" s="21">
        <f>IF(E716="Essencial",1,IF(E716="Dívidas",2,IF(E716="Importante",3,IF(E716="Quero",4,""))))</f>
        <v/>
      </c>
    </row>
    <row r="717">
      <c r="A717" s="19" t="n"/>
      <c r="C717" s="17" t="n"/>
      <c r="H717" s="20">
        <f>IF(OR(B717="",C717=""),0,IF(B717="Entrada",C717,-C717))</f>
        <v/>
      </c>
      <c r="I717" s="21">
        <f>IF(A717="","",YEAR(A717)*100+MONTH(A717))</f>
        <v/>
      </c>
      <c r="J717" s="21">
        <f>IF(E717="Essencial",1,IF(E717="Dívidas",2,IF(E717="Importante",3,IF(E717="Quero",4,""))))</f>
        <v/>
      </c>
    </row>
    <row r="718">
      <c r="A718" s="19" t="n"/>
      <c r="C718" s="17" t="n"/>
      <c r="H718" s="20">
        <f>IF(OR(B718="",C718=""),0,IF(B718="Entrada",C718,-C718))</f>
        <v/>
      </c>
      <c r="I718" s="21">
        <f>IF(A718="","",YEAR(A718)*100+MONTH(A718))</f>
        <v/>
      </c>
      <c r="J718" s="21">
        <f>IF(E718="Essencial",1,IF(E718="Dívidas",2,IF(E718="Importante",3,IF(E718="Quero",4,""))))</f>
        <v/>
      </c>
    </row>
    <row r="719">
      <c r="A719" s="19" t="n"/>
      <c r="C719" s="17" t="n"/>
      <c r="H719" s="20">
        <f>IF(OR(B719="",C719=""),0,IF(B719="Entrada",C719,-C719))</f>
        <v/>
      </c>
      <c r="I719" s="21">
        <f>IF(A719="","",YEAR(A719)*100+MONTH(A719))</f>
        <v/>
      </c>
      <c r="J719" s="21">
        <f>IF(E719="Essencial",1,IF(E719="Dívidas",2,IF(E719="Importante",3,IF(E719="Quero",4,""))))</f>
        <v/>
      </c>
    </row>
    <row r="720">
      <c r="A720" s="19" t="n"/>
      <c r="C720" s="17" t="n"/>
      <c r="H720" s="20">
        <f>IF(OR(B720="",C720=""),0,IF(B720="Entrada",C720,-C720))</f>
        <v/>
      </c>
      <c r="I720" s="21">
        <f>IF(A720="","",YEAR(A720)*100+MONTH(A720))</f>
        <v/>
      </c>
      <c r="J720" s="21">
        <f>IF(E720="Essencial",1,IF(E720="Dívidas",2,IF(E720="Importante",3,IF(E720="Quero",4,""))))</f>
        <v/>
      </c>
    </row>
    <row r="721">
      <c r="A721" s="19" t="n"/>
      <c r="C721" s="17" t="n"/>
      <c r="H721" s="20">
        <f>IF(OR(B721="",C721=""),0,IF(B721="Entrada",C721,-C721))</f>
        <v/>
      </c>
      <c r="I721" s="21">
        <f>IF(A721="","",YEAR(A721)*100+MONTH(A721))</f>
        <v/>
      </c>
      <c r="J721" s="21">
        <f>IF(E721="Essencial",1,IF(E721="Dívidas",2,IF(E721="Importante",3,IF(E721="Quero",4,""))))</f>
        <v/>
      </c>
    </row>
    <row r="722">
      <c r="A722" s="19" t="n"/>
      <c r="C722" s="17" t="n"/>
      <c r="H722" s="20">
        <f>IF(OR(B722="",C722=""),0,IF(B722="Entrada",C722,-C722))</f>
        <v/>
      </c>
      <c r="I722" s="21">
        <f>IF(A722="","",YEAR(A722)*100+MONTH(A722))</f>
        <v/>
      </c>
      <c r="J722" s="21">
        <f>IF(E722="Essencial",1,IF(E722="Dívidas",2,IF(E722="Importante",3,IF(E722="Quero",4,""))))</f>
        <v/>
      </c>
    </row>
    <row r="723">
      <c r="A723" s="19" t="n"/>
      <c r="C723" s="17" t="n"/>
      <c r="H723" s="20">
        <f>IF(OR(B723="",C723=""),0,IF(B723="Entrada",C723,-C723))</f>
        <v/>
      </c>
      <c r="I723" s="21">
        <f>IF(A723="","",YEAR(A723)*100+MONTH(A723))</f>
        <v/>
      </c>
      <c r="J723" s="21">
        <f>IF(E723="Essencial",1,IF(E723="Dívidas",2,IF(E723="Importante",3,IF(E723="Quero",4,""))))</f>
        <v/>
      </c>
    </row>
    <row r="724">
      <c r="A724" s="19" t="n"/>
      <c r="C724" s="17" t="n"/>
      <c r="H724" s="20">
        <f>IF(OR(B724="",C724=""),0,IF(B724="Entrada",C724,-C724))</f>
        <v/>
      </c>
      <c r="I724" s="21">
        <f>IF(A724="","",YEAR(A724)*100+MONTH(A724))</f>
        <v/>
      </c>
      <c r="J724" s="21">
        <f>IF(E724="Essencial",1,IF(E724="Dívidas",2,IF(E724="Importante",3,IF(E724="Quero",4,""))))</f>
        <v/>
      </c>
    </row>
    <row r="725">
      <c r="A725" s="19" t="n"/>
      <c r="C725" s="17" t="n"/>
      <c r="H725" s="20">
        <f>IF(OR(B725="",C725=""),0,IF(B725="Entrada",C725,-C725))</f>
        <v/>
      </c>
      <c r="I725" s="21">
        <f>IF(A725="","",YEAR(A725)*100+MONTH(A725))</f>
        <v/>
      </c>
      <c r="J725" s="21">
        <f>IF(E725="Essencial",1,IF(E725="Dívidas",2,IF(E725="Importante",3,IF(E725="Quero",4,""))))</f>
        <v/>
      </c>
    </row>
    <row r="726">
      <c r="A726" s="19" t="n"/>
      <c r="C726" s="17" t="n"/>
      <c r="H726" s="20">
        <f>IF(OR(B726="",C726=""),0,IF(B726="Entrada",C726,-C726))</f>
        <v/>
      </c>
      <c r="I726" s="21">
        <f>IF(A726="","",YEAR(A726)*100+MONTH(A726))</f>
        <v/>
      </c>
      <c r="J726" s="21">
        <f>IF(E726="Essencial",1,IF(E726="Dívidas",2,IF(E726="Importante",3,IF(E726="Quero",4,""))))</f>
        <v/>
      </c>
    </row>
    <row r="727">
      <c r="A727" s="19" t="n"/>
      <c r="C727" s="17" t="n"/>
      <c r="H727" s="20">
        <f>IF(OR(B727="",C727=""),0,IF(B727="Entrada",C727,-C727))</f>
        <v/>
      </c>
      <c r="I727" s="21">
        <f>IF(A727="","",YEAR(A727)*100+MONTH(A727))</f>
        <v/>
      </c>
      <c r="J727" s="21">
        <f>IF(E727="Essencial",1,IF(E727="Dívidas",2,IF(E727="Importante",3,IF(E727="Quero",4,""))))</f>
        <v/>
      </c>
    </row>
    <row r="728">
      <c r="A728" s="19" t="n"/>
      <c r="C728" s="17" t="n"/>
      <c r="H728" s="20">
        <f>IF(OR(B728="",C728=""),0,IF(B728="Entrada",C728,-C728))</f>
        <v/>
      </c>
      <c r="I728" s="21">
        <f>IF(A728="","",YEAR(A728)*100+MONTH(A728))</f>
        <v/>
      </c>
      <c r="J728" s="21">
        <f>IF(E728="Essencial",1,IF(E728="Dívidas",2,IF(E728="Importante",3,IF(E728="Quero",4,""))))</f>
        <v/>
      </c>
    </row>
    <row r="729">
      <c r="A729" s="19" t="n"/>
      <c r="C729" s="17" t="n"/>
      <c r="H729" s="20">
        <f>IF(OR(B729="",C729=""),0,IF(B729="Entrada",C729,-C729))</f>
        <v/>
      </c>
      <c r="I729" s="21">
        <f>IF(A729="","",YEAR(A729)*100+MONTH(A729))</f>
        <v/>
      </c>
      <c r="J729" s="21">
        <f>IF(E729="Essencial",1,IF(E729="Dívidas",2,IF(E729="Importante",3,IF(E729="Quero",4,""))))</f>
        <v/>
      </c>
    </row>
    <row r="730">
      <c r="A730" s="19" t="n"/>
      <c r="C730" s="17" t="n"/>
      <c r="H730" s="20">
        <f>IF(OR(B730="",C730=""),0,IF(B730="Entrada",C730,-C730))</f>
        <v/>
      </c>
      <c r="I730" s="21">
        <f>IF(A730="","",YEAR(A730)*100+MONTH(A730))</f>
        <v/>
      </c>
      <c r="J730" s="21">
        <f>IF(E730="Essencial",1,IF(E730="Dívidas",2,IF(E730="Importante",3,IF(E730="Quero",4,""))))</f>
        <v/>
      </c>
    </row>
    <row r="731">
      <c r="A731" s="19" t="n"/>
      <c r="C731" s="17" t="n"/>
      <c r="H731" s="20">
        <f>IF(OR(B731="",C731=""),0,IF(B731="Entrada",C731,-C731))</f>
        <v/>
      </c>
      <c r="I731" s="21">
        <f>IF(A731="","",YEAR(A731)*100+MONTH(A731))</f>
        <v/>
      </c>
      <c r="J731" s="21">
        <f>IF(E731="Essencial",1,IF(E731="Dívidas",2,IF(E731="Importante",3,IF(E731="Quero",4,""))))</f>
        <v/>
      </c>
    </row>
    <row r="732">
      <c r="A732" s="19" t="n"/>
      <c r="C732" s="17" t="n"/>
      <c r="H732" s="20">
        <f>IF(OR(B732="",C732=""),0,IF(B732="Entrada",C732,-C732))</f>
        <v/>
      </c>
      <c r="I732" s="21">
        <f>IF(A732="","",YEAR(A732)*100+MONTH(A732))</f>
        <v/>
      </c>
      <c r="J732" s="21">
        <f>IF(E732="Essencial",1,IF(E732="Dívidas",2,IF(E732="Importante",3,IF(E732="Quero",4,""))))</f>
        <v/>
      </c>
    </row>
    <row r="733">
      <c r="A733" s="19" t="n"/>
      <c r="C733" s="17" t="n"/>
      <c r="H733" s="20">
        <f>IF(OR(B733="",C733=""),0,IF(B733="Entrada",C733,-C733))</f>
        <v/>
      </c>
      <c r="I733" s="21">
        <f>IF(A733="","",YEAR(A733)*100+MONTH(A733))</f>
        <v/>
      </c>
      <c r="J733" s="21">
        <f>IF(E733="Essencial",1,IF(E733="Dívidas",2,IF(E733="Importante",3,IF(E733="Quero",4,""))))</f>
        <v/>
      </c>
    </row>
    <row r="734">
      <c r="A734" s="19" t="n"/>
      <c r="C734" s="17" t="n"/>
      <c r="H734" s="20">
        <f>IF(OR(B734="",C734=""),0,IF(B734="Entrada",C734,-C734))</f>
        <v/>
      </c>
      <c r="I734" s="21">
        <f>IF(A734="","",YEAR(A734)*100+MONTH(A734))</f>
        <v/>
      </c>
      <c r="J734" s="21">
        <f>IF(E734="Essencial",1,IF(E734="Dívidas",2,IF(E734="Importante",3,IF(E734="Quero",4,""))))</f>
        <v/>
      </c>
    </row>
    <row r="735">
      <c r="A735" s="19" t="n"/>
      <c r="C735" s="17" t="n"/>
      <c r="H735" s="20">
        <f>IF(OR(B735="",C735=""),0,IF(B735="Entrada",C735,-C735))</f>
        <v/>
      </c>
      <c r="I735" s="21">
        <f>IF(A735="","",YEAR(A735)*100+MONTH(A735))</f>
        <v/>
      </c>
      <c r="J735" s="21">
        <f>IF(E735="Essencial",1,IF(E735="Dívidas",2,IF(E735="Importante",3,IF(E735="Quero",4,""))))</f>
        <v/>
      </c>
    </row>
    <row r="736">
      <c r="A736" s="19" t="n"/>
      <c r="C736" s="17" t="n"/>
      <c r="H736" s="20">
        <f>IF(OR(B736="",C736=""),0,IF(B736="Entrada",C736,-C736))</f>
        <v/>
      </c>
      <c r="I736" s="21">
        <f>IF(A736="","",YEAR(A736)*100+MONTH(A736))</f>
        <v/>
      </c>
      <c r="J736" s="21">
        <f>IF(E736="Essencial",1,IF(E736="Dívidas",2,IF(E736="Importante",3,IF(E736="Quero",4,""))))</f>
        <v/>
      </c>
    </row>
    <row r="737">
      <c r="A737" s="19" t="n"/>
      <c r="C737" s="17" t="n"/>
      <c r="H737" s="20">
        <f>IF(OR(B737="",C737=""),0,IF(B737="Entrada",C737,-C737))</f>
        <v/>
      </c>
      <c r="I737" s="21">
        <f>IF(A737="","",YEAR(A737)*100+MONTH(A737))</f>
        <v/>
      </c>
      <c r="J737" s="21">
        <f>IF(E737="Essencial",1,IF(E737="Dívidas",2,IF(E737="Importante",3,IF(E737="Quero",4,""))))</f>
        <v/>
      </c>
    </row>
    <row r="738">
      <c r="A738" s="19" t="n"/>
      <c r="C738" s="17" t="n"/>
      <c r="H738" s="20">
        <f>IF(OR(B738="",C738=""),0,IF(B738="Entrada",C738,-C738))</f>
        <v/>
      </c>
      <c r="I738" s="21">
        <f>IF(A738="","",YEAR(A738)*100+MONTH(A738))</f>
        <v/>
      </c>
      <c r="J738" s="21">
        <f>IF(E738="Essencial",1,IF(E738="Dívidas",2,IF(E738="Importante",3,IF(E738="Quero",4,""))))</f>
        <v/>
      </c>
    </row>
    <row r="739">
      <c r="A739" s="19" t="n"/>
      <c r="C739" s="17" t="n"/>
      <c r="H739" s="20">
        <f>IF(OR(B739="",C739=""),0,IF(B739="Entrada",C739,-C739))</f>
        <v/>
      </c>
      <c r="I739" s="21">
        <f>IF(A739="","",YEAR(A739)*100+MONTH(A739))</f>
        <v/>
      </c>
      <c r="J739" s="21">
        <f>IF(E739="Essencial",1,IF(E739="Dívidas",2,IF(E739="Importante",3,IF(E739="Quero",4,""))))</f>
        <v/>
      </c>
    </row>
    <row r="740">
      <c r="A740" s="19" t="n"/>
      <c r="C740" s="17" t="n"/>
      <c r="H740" s="20">
        <f>IF(OR(B740="",C740=""),0,IF(B740="Entrada",C740,-C740))</f>
        <v/>
      </c>
      <c r="I740" s="21">
        <f>IF(A740="","",YEAR(A740)*100+MONTH(A740))</f>
        <v/>
      </c>
      <c r="J740" s="21">
        <f>IF(E740="Essencial",1,IF(E740="Dívidas",2,IF(E740="Importante",3,IF(E740="Quero",4,""))))</f>
        <v/>
      </c>
    </row>
    <row r="741">
      <c r="A741" s="19" t="n"/>
      <c r="C741" s="17" t="n"/>
      <c r="H741" s="20">
        <f>IF(OR(B741="",C741=""),0,IF(B741="Entrada",C741,-C741))</f>
        <v/>
      </c>
      <c r="I741" s="21">
        <f>IF(A741="","",YEAR(A741)*100+MONTH(A741))</f>
        <v/>
      </c>
      <c r="J741" s="21">
        <f>IF(E741="Essencial",1,IF(E741="Dívidas",2,IF(E741="Importante",3,IF(E741="Quero",4,""))))</f>
        <v/>
      </c>
    </row>
    <row r="742">
      <c r="A742" s="19" t="n"/>
      <c r="C742" s="17" t="n"/>
      <c r="H742" s="20">
        <f>IF(OR(B742="",C742=""),0,IF(B742="Entrada",C742,-C742))</f>
        <v/>
      </c>
      <c r="I742" s="21">
        <f>IF(A742="","",YEAR(A742)*100+MONTH(A742))</f>
        <v/>
      </c>
      <c r="J742" s="21">
        <f>IF(E742="Essencial",1,IF(E742="Dívidas",2,IF(E742="Importante",3,IF(E742="Quero",4,""))))</f>
        <v/>
      </c>
    </row>
    <row r="743">
      <c r="A743" s="19" t="n"/>
      <c r="C743" s="17" t="n"/>
      <c r="H743" s="20">
        <f>IF(OR(B743="",C743=""),0,IF(B743="Entrada",C743,-C743))</f>
        <v/>
      </c>
      <c r="I743" s="21">
        <f>IF(A743="","",YEAR(A743)*100+MONTH(A743))</f>
        <v/>
      </c>
      <c r="J743" s="21">
        <f>IF(E743="Essencial",1,IF(E743="Dívidas",2,IF(E743="Importante",3,IF(E743="Quero",4,""))))</f>
        <v/>
      </c>
    </row>
    <row r="744">
      <c r="A744" s="19" t="n"/>
      <c r="C744" s="17" t="n"/>
      <c r="H744" s="20">
        <f>IF(OR(B744="",C744=""),0,IF(B744="Entrada",C744,-C744))</f>
        <v/>
      </c>
      <c r="I744" s="21">
        <f>IF(A744="","",YEAR(A744)*100+MONTH(A744))</f>
        <v/>
      </c>
      <c r="J744" s="21">
        <f>IF(E744="Essencial",1,IF(E744="Dívidas",2,IF(E744="Importante",3,IF(E744="Quero",4,""))))</f>
        <v/>
      </c>
    </row>
    <row r="745">
      <c r="A745" s="19" t="n"/>
      <c r="C745" s="17" t="n"/>
      <c r="H745" s="20">
        <f>IF(OR(B745="",C745=""),0,IF(B745="Entrada",C745,-C745))</f>
        <v/>
      </c>
      <c r="I745" s="21">
        <f>IF(A745="","",YEAR(A745)*100+MONTH(A745))</f>
        <v/>
      </c>
      <c r="J745" s="21">
        <f>IF(E745="Essencial",1,IF(E745="Dívidas",2,IF(E745="Importante",3,IF(E745="Quero",4,""))))</f>
        <v/>
      </c>
    </row>
    <row r="746">
      <c r="A746" s="19" t="n"/>
      <c r="C746" s="17" t="n"/>
      <c r="H746" s="20">
        <f>IF(OR(B746="",C746=""),0,IF(B746="Entrada",C746,-C746))</f>
        <v/>
      </c>
      <c r="I746" s="21">
        <f>IF(A746="","",YEAR(A746)*100+MONTH(A746))</f>
        <v/>
      </c>
      <c r="J746" s="21">
        <f>IF(E746="Essencial",1,IF(E746="Dívidas",2,IF(E746="Importante",3,IF(E746="Quero",4,""))))</f>
        <v/>
      </c>
    </row>
    <row r="747">
      <c r="A747" s="19" t="n"/>
      <c r="C747" s="17" t="n"/>
      <c r="H747" s="20">
        <f>IF(OR(B747="",C747=""),0,IF(B747="Entrada",C747,-C747))</f>
        <v/>
      </c>
      <c r="I747" s="21">
        <f>IF(A747="","",YEAR(A747)*100+MONTH(A747))</f>
        <v/>
      </c>
      <c r="J747" s="21">
        <f>IF(E747="Essencial",1,IF(E747="Dívidas",2,IF(E747="Importante",3,IF(E747="Quero",4,""))))</f>
        <v/>
      </c>
    </row>
    <row r="748">
      <c r="A748" s="19" t="n"/>
      <c r="C748" s="17" t="n"/>
      <c r="H748" s="20">
        <f>IF(OR(B748="",C748=""),0,IF(B748="Entrada",C748,-C748))</f>
        <v/>
      </c>
      <c r="I748" s="21">
        <f>IF(A748="","",YEAR(A748)*100+MONTH(A748))</f>
        <v/>
      </c>
      <c r="J748" s="21">
        <f>IF(E748="Essencial",1,IF(E748="Dívidas",2,IF(E748="Importante",3,IF(E748="Quero",4,""))))</f>
        <v/>
      </c>
    </row>
    <row r="749">
      <c r="A749" s="19" t="n"/>
      <c r="C749" s="17" t="n"/>
      <c r="H749" s="20">
        <f>IF(OR(B749="",C749=""),0,IF(B749="Entrada",C749,-C749))</f>
        <v/>
      </c>
      <c r="I749" s="21">
        <f>IF(A749="","",YEAR(A749)*100+MONTH(A749))</f>
        <v/>
      </c>
      <c r="J749" s="21">
        <f>IF(E749="Essencial",1,IF(E749="Dívidas",2,IF(E749="Importante",3,IF(E749="Quero",4,""))))</f>
        <v/>
      </c>
    </row>
    <row r="750">
      <c r="A750" s="19" t="n"/>
      <c r="C750" s="17" t="n"/>
      <c r="H750" s="20">
        <f>IF(OR(B750="",C750=""),0,IF(B750="Entrada",C750,-C750))</f>
        <v/>
      </c>
      <c r="I750" s="21">
        <f>IF(A750="","",YEAR(A750)*100+MONTH(A750))</f>
        <v/>
      </c>
      <c r="J750" s="21">
        <f>IF(E750="Essencial",1,IF(E750="Dívidas",2,IF(E750="Importante",3,IF(E750="Quero",4,""))))</f>
        <v/>
      </c>
    </row>
    <row r="751">
      <c r="A751" s="19" t="n"/>
      <c r="C751" s="17" t="n"/>
      <c r="H751" s="20">
        <f>IF(OR(B751="",C751=""),0,IF(B751="Entrada",C751,-C751))</f>
        <v/>
      </c>
      <c r="I751" s="21">
        <f>IF(A751="","",YEAR(A751)*100+MONTH(A751))</f>
        <v/>
      </c>
      <c r="J751" s="21">
        <f>IF(E751="Essencial",1,IF(E751="Dívidas",2,IF(E751="Importante",3,IF(E751="Quero",4,""))))</f>
        <v/>
      </c>
    </row>
    <row r="752">
      <c r="A752" s="19" t="n"/>
      <c r="C752" s="17" t="n"/>
      <c r="H752" s="20">
        <f>IF(OR(B752="",C752=""),0,IF(B752="Entrada",C752,-C752))</f>
        <v/>
      </c>
      <c r="I752" s="21">
        <f>IF(A752="","",YEAR(A752)*100+MONTH(A752))</f>
        <v/>
      </c>
      <c r="J752" s="21">
        <f>IF(E752="Essencial",1,IF(E752="Dívidas",2,IF(E752="Importante",3,IF(E752="Quero",4,""))))</f>
        <v/>
      </c>
    </row>
    <row r="753">
      <c r="A753" s="19" t="n"/>
      <c r="C753" s="17" t="n"/>
      <c r="H753" s="20">
        <f>IF(OR(B753="",C753=""),0,IF(B753="Entrada",C753,-C753))</f>
        <v/>
      </c>
      <c r="I753" s="21">
        <f>IF(A753="","",YEAR(A753)*100+MONTH(A753))</f>
        <v/>
      </c>
      <c r="J753" s="21">
        <f>IF(E753="Essencial",1,IF(E753="Dívidas",2,IF(E753="Importante",3,IF(E753="Quero",4,""))))</f>
        <v/>
      </c>
    </row>
    <row r="754">
      <c r="A754" s="19" t="n"/>
      <c r="C754" s="17" t="n"/>
      <c r="H754" s="20">
        <f>IF(OR(B754="",C754=""),0,IF(B754="Entrada",C754,-C754))</f>
        <v/>
      </c>
      <c r="I754" s="21">
        <f>IF(A754="","",YEAR(A754)*100+MONTH(A754))</f>
        <v/>
      </c>
      <c r="J754" s="21">
        <f>IF(E754="Essencial",1,IF(E754="Dívidas",2,IF(E754="Importante",3,IF(E754="Quero",4,""))))</f>
        <v/>
      </c>
    </row>
    <row r="755">
      <c r="A755" s="19" t="n"/>
      <c r="C755" s="17" t="n"/>
      <c r="H755" s="20">
        <f>IF(OR(B755="",C755=""),0,IF(B755="Entrada",C755,-C755))</f>
        <v/>
      </c>
      <c r="I755" s="21">
        <f>IF(A755="","",YEAR(A755)*100+MONTH(A755))</f>
        <v/>
      </c>
      <c r="J755" s="21">
        <f>IF(E755="Essencial",1,IF(E755="Dívidas",2,IF(E755="Importante",3,IF(E755="Quero",4,""))))</f>
        <v/>
      </c>
    </row>
    <row r="756">
      <c r="A756" s="19" t="n"/>
      <c r="C756" s="17" t="n"/>
      <c r="H756" s="20">
        <f>IF(OR(B756="",C756=""),0,IF(B756="Entrada",C756,-C756))</f>
        <v/>
      </c>
      <c r="I756" s="21">
        <f>IF(A756="","",YEAR(A756)*100+MONTH(A756))</f>
        <v/>
      </c>
      <c r="J756" s="21">
        <f>IF(E756="Essencial",1,IF(E756="Dívidas",2,IF(E756="Importante",3,IF(E756="Quero",4,""))))</f>
        <v/>
      </c>
    </row>
    <row r="757">
      <c r="A757" s="19" t="n"/>
      <c r="C757" s="17" t="n"/>
      <c r="H757" s="20">
        <f>IF(OR(B757="",C757=""),0,IF(B757="Entrada",C757,-C757))</f>
        <v/>
      </c>
      <c r="I757" s="21">
        <f>IF(A757="","",YEAR(A757)*100+MONTH(A757))</f>
        <v/>
      </c>
      <c r="J757" s="21">
        <f>IF(E757="Essencial",1,IF(E757="Dívidas",2,IF(E757="Importante",3,IF(E757="Quero",4,""))))</f>
        <v/>
      </c>
    </row>
    <row r="758">
      <c r="A758" s="19" t="n"/>
      <c r="C758" s="17" t="n"/>
      <c r="H758" s="20">
        <f>IF(OR(B758="",C758=""),0,IF(B758="Entrada",C758,-C758))</f>
        <v/>
      </c>
      <c r="I758" s="21">
        <f>IF(A758="","",YEAR(A758)*100+MONTH(A758))</f>
        <v/>
      </c>
      <c r="J758" s="21">
        <f>IF(E758="Essencial",1,IF(E758="Dívidas",2,IF(E758="Importante",3,IF(E758="Quero",4,""))))</f>
        <v/>
      </c>
    </row>
    <row r="759">
      <c r="A759" s="19" t="n"/>
      <c r="C759" s="17" t="n"/>
      <c r="H759" s="20">
        <f>IF(OR(B759="",C759=""),0,IF(B759="Entrada",C759,-C759))</f>
        <v/>
      </c>
      <c r="I759" s="21">
        <f>IF(A759="","",YEAR(A759)*100+MONTH(A759))</f>
        <v/>
      </c>
      <c r="J759" s="21">
        <f>IF(E759="Essencial",1,IF(E759="Dívidas",2,IF(E759="Importante",3,IF(E759="Quero",4,""))))</f>
        <v/>
      </c>
    </row>
    <row r="760">
      <c r="A760" s="19" t="n"/>
      <c r="C760" s="17" t="n"/>
      <c r="H760" s="20">
        <f>IF(OR(B760="",C760=""),0,IF(B760="Entrada",C760,-C760))</f>
        <v/>
      </c>
      <c r="I760" s="21">
        <f>IF(A760="","",YEAR(A760)*100+MONTH(A760))</f>
        <v/>
      </c>
      <c r="J760" s="21">
        <f>IF(E760="Essencial",1,IF(E760="Dívidas",2,IF(E760="Importante",3,IF(E760="Quero",4,""))))</f>
        <v/>
      </c>
    </row>
    <row r="761">
      <c r="A761" s="19" t="n"/>
      <c r="C761" s="17" t="n"/>
      <c r="H761" s="20">
        <f>IF(OR(B761="",C761=""),0,IF(B761="Entrada",C761,-C761))</f>
        <v/>
      </c>
      <c r="I761" s="21">
        <f>IF(A761="","",YEAR(A761)*100+MONTH(A761))</f>
        <v/>
      </c>
      <c r="J761" s="21">
        <f>IF(E761="Essencial",1,IF(E761="Dívidas",2,IF(E761="Importante",3,IF(E761="Quero",4,""))))</f>
        <v/>
      </c>
    </row>
    <row r="762">
      <c r="A762" s="19" t="n"/>
      <c r="C762" s="17" t="n"/>
      <c r="H762" s="20">
        <f>IF(OR(B762="",C762=""),0,IF(B762="Entrada",C762,-C762))</f>
        <v/>
      </c>
      <c r="I762" s="21">
        <f>IF(A762="","",YEAR(A762)*100+MONTH(A762))</f>
        <v/>
      </c>
      <c r="J762" s="21">
        <f>IF(E762="Essencial",1,IF(E762="Dívidas",2,IF(E762="Importante",3,IF(E762="Quero",4,""))))</f>
        <v/>
      </c>
    </row>
    <row r="763">
      <c r="A763" s="19" t="n"/>
      <c r="C763" s="17" t="n"/>
      <c r="H763" s="20">
        <f>IF(OR(B763="",C763=""),0,IF(B763="Entrada",C763,-C763))</f>
        <v/>
      </c>
      <c r="I763" s="21">
        <f>IF(A763="","",YEAR(A763)*100+MONTH(A763))</f>
        <v/>
      </c>
      <c r="J763" s="21">
        <f>IF(E763="Essencial",1,IF(E763="Dívidas",2,IF(E763="Importante",3,IF(E763="Quero",4,""))))</f>
        <v/>
      </c>
    </row>
    <row r="764">
      <c r="A764" s="19" t="n"/>
      <c r="C764" s="17" t="n"/>
      <c r="H764" s="20">
        <f>IF(OR(B764="",C764=""),0,IF(B764="Entrada",C764,-C764))</f>
        <v/>
      </c>
      <c r="I764" s="21">
        <f>IF(A764="","",YEAR(A764)*100+MONTH(A764))</f>
        <v/>
      </c>
      <c r="J764" s="21">
        <f>IF(E764="Essencial",1,IF(E764="Dívidas",2,IF(E764="Importante",3,IF(E764="Quero",4,""))))</f>
        <v/>
      </c>
    </row>
    <row r="765">
      <c r="A765" s="19" t="n"/>
      <c r="C765" s="17" t="n"/>
      <c r="H765" s="20">
        <f>IF(OR(B765="",C765=""),0,IF(B765="Entrada",C765,-C765))</f>
        <v/>
      </c>
      <c r="I765" s="21">
        <f>IF(A765="","",YEAR(A765)*100+MONTH(A765))</f>
        <v/>
      </c>
      <c r="J765" s="21">
        <f>IF(E765="Essencial",1,IF(E765="Dívidas",2,IF(E765="Importante",3,IF(E765="Quero",4,""))))</f>
        <v/>
      </c>
    </row>
    <row r="766">
      <c r="A766" s="19" t="n"/>
      <c r="C766" s="17" t="n"/>
      <c r="H766" s="20">
        <f>IF(OR(B766="",C766=""),0,IF(B766="Entrada",C766,-C766))</f>
        <v/>
      </c>
      <c r="I766" s="21">
        <f>IF(A766="","",YEAR(A766)*100+MONTH(A766))</f>
        <v/>
      </c>
      <c r="J766" s="21">
        <f>IF(E766="Essencial",1,IF(E766="Dívidas",2,IF(E766="Importante",3,IF(E766="Quero",4,""))))</f>
        <v/>
      </c>
    </row>
    <row r="767">
      <c r="A767" s="19" t="n"/>
      <c r="C767" s="17" t="n"/>
      <c r="H767" s="20">
        <f>IF(OR(B767="",C767=""),0,IF(B767="Entrada",C767,-C767))</f>
        <v/>
      </c>
      <c r="I767" s="21">
        <f>IF(A767="","",YEAR(A767)*100+MONTH(A767))</f>
        <v/>
      </c>
      <c r="J767" s="21">
        <f>IF(E767="Essencial",1,IF(E767="Dívidas",2,IF(E767="Importante",3,IF(E767="Quero",4,""))))</f>
        <v/>
      </c>
    </row>
    <row r="768">
      <c r="A768" s="19" t="n"/>
      <c r="C768" s="17" t="n"/>
      <c r="H768" s="20">
        <f>IF(OR(B768="",C768=""),0,IF(B768="Entrada",C768,-C768))</f>
        <v/>
      </c>
      <c r="I768" s="21">
        <f>IF(A768="","",YEAR(A768)*100+MONTH(A768))</f>
        <v/>
      </c>
      <c r="J768" s="21">
        <f>IF(E768="Essencial",1,IF(E768="Dívidas",2,IF(E768="Importante",3,IF(E768="Quero",4,""))))</f>
        <v/>
      </c>
    </row>
    <row r="769">
      <c r="A769" s="19" t="n"/>
      <c r="C769" s="17" t="n"/>
      <c r="H769" s="20">
        <f>IF(OR(B769="",C769=""),0,IF(B769="Entrada",C769,-C769))</f>
        <v/>
      </c>
      <c r="I769" s="21">
        <f>IF(A769="","",YEAR(A769)*100+MONTH(A769))</f>
        <v/>
      </c>
      <c r="J769" s="21">
        <f>IF(E769="Essencial",1,IF(E769="Dívidas",2,IF(E769="Importante",3,IF(E769="Quero",4,""))))</f>
        <v/>
      </c>
    </row>
    <row r="770">
      <c r="A770" s="19" t="n"/>
      <c r="C770" s="17" t="n"/>
      <c r="H770" s="20">
        <f>IF(OR(B770="",C770=""),0,IF(B770="Entrada",C770,-C770))</f>
        <v/>
      </c>
      <c r="I770" s="21">
        <f>IF(A770="","",YEAR(A770)*100+MONTH(A770))</f>
        <v/>
      </c>
      <c r="J770" s="21">
        <f>IF(E770="Essencial",1,IF(E770="Dívidas",2,IF(E770="Importante",3,IF(E770="Quero",4,""))))</f>
        <v/>
      </c>
    </row>
    <row r="771">
      <c r="A771" s="19" t="n"/>
      <c r="C771" s="17" t="n"/>
      <c r="H771" s="20">
        <f>IF(OR(B771="",C771=""),0,IF(B771="Entrada",C771,-C771))</f>
        <v/>
      </c>
      <c r="I771" s="21">
        <f>IF(A771="","",YEAR(A771)*100+MONTH(A771))</f>
        <v/>
      </c>
      <c r="J771" s="21">
        <f>IF(E771="Essencial",1,IF(E771="Dívidas",2,IF(E771="Importante",3,IF(E771="Quero",4,""))))</f>
        <v/>
      </c>
    </row>
    <row r="772">
      <c r="A772" s="19" t="n"/>
      <c r="C772" s="17" t="n"/>
      <c r="H772" s="20">
        <f>IF(OR(B772="",C772=""),0,IF(B772="Entrada",C772,-C772))</f>
        <v/>
      </c>
      <c r="I772" s="21">
        <f>IF(A772="","",YEAR(A772)*100+MONTH(A772))</f>
        <v/>
      </c>
      <c r="J772" s="21">
        <f>IF(E772="Essencial",1,IF(E772="Dívidas",2,IF(E772="Importante",3,IF(E772="Quero",4,""))))</f>
        <v/>
      </c>
    </row>
    <row r="773">
      <c r="A773" s="19" t="n"/>
      <c r="C773" s="17" t="n"/>
      <c r="H773" s="20">
        <f>IF(OR(B773="",C773=""),0,IF(B773="Entrada",C773,-C773))</f>
        <v/>
      </c>
      <c r="I773" s="21">
        <f>IF(A773="","",YEAR(A773)*100+MONTH(A773))</f>
        <v/>
      </c>
      <c r="J773" s="21">
        <f>IF(E773="Essencial",1,IF(E773="Dívidas",2,IF(E773="Importante",3,IF(E773="Quero",4,""))))</f>
        <v/>
      </c>
    </row>
    <row r="774">
      <c r="A774" s="19" t="n"/>
      <c r="C774" s="17" t="n"/>
      <c r="H774" s="20">
        <f>IF(OR(B774="",C774=""),0,IF(B774="Entrada",C774,-C774))</f>
        <v/>
      </c>
      <c r="I774" s="21">
        <f>IF(A774="","",YEAR(A774)*100+MONTH(A774))</f>
        <v/>
      </c>
      <c r="J774" s="21">
        <f>IF(E774="Essencial",1,IF(E774="Dívidas",2,IF(E774="Importante",3,IF(E774="Quero",4,""))))</f>
        <v/>
      </c>
    </row>
    <row r="775">
      <c r="A775" s="19" t="n"/>
      <c r="C775" s="17" t="n"/>
      <c r="H775" s="20">
        <f>IF(OR(B775="",C775=""),0,IF(B775="Entrada",C775,-C775))</f>
        <v/>
      </c>
      <c r="I775" s="21">
        <f>IF(A775="","",YEAR(A775)*100+MONTH(A775))</f>
        <v/>
      </c>
      <c r="J775" s="21">
        <f>IF(E775="Essencial",1,IF(E775="Dívidas",2,IF(E775="Importante",3,IF(E775="Quero",4,""))))</f>
        <v/>
      </c>
    </row>
    <row r="776">
      <c r="A776" s="19" t="n"/>
      <c r="C776" s="17" t="n"/>
      <c r="H776" s="20">
        <f>IF(OR(B776="",C776=""),0,IF(B776="Entrada",C776,-C776))</f>
        <v/>
      </c>
      <c r="I776" s="21">
        <f>IF(A776="","",YEAR(A776)*100+MONTH(A776))</f>
        <v/>
      </c>
      <c r="J776" s="21">
        <f>IF(E776="Essencial",1,IF(E776="Dívidas",2,IF(E776="Importante",3,IF(E776="Quero",4,""))))</f>
        <v/>
      </c>
    </row>
    <row r="777">
      <c r="A777" s="19" t="n"/>
      <c r="C777" s="17" t="n"/>
      <c r="H777" s="20">
        <f>IF(OR(B777="",C777=""),0,IF(B777="Entrada",C777,-C777))</f>
        <v/>
      </c>
      <c r="I777" s="21">
        <f>IF(A777="","",YEAR(A777)*100+MONTH(A777))</f>
        <v/>
      </c>
      <c r="J777" s="21">
        <f>IF(E777="Essencial",1,IF(E777="Dívidas",2,IF(E777="Importante",3,IF(E777="Quero",4,""))))</f>
        <v/>
      </c>
    </row>
    <row r="778">
      <c r="A778" s="19" t="n"/>
      <c r="C778" s="17" t="n"/>
      <c r="H778" s="20">
        <f>IF(OR(B778="",C778=""),0,IF(B778="Entrada",C778,-C778))</f>
        <v/>
      </c>
      <c r="I778" s="21">
        <f>IF(A778="","",YEAR(A778)*100+MONTH(A778))</f>
        <v/>
      </c>
      <c r="J778" s="21">
        <f>IF(E778="Essencial",1,IF(E778="Dívidas",2,IF(E778="Importante",3,IF(E778="Quero",4,""))))</f>
        <v/>
      </c>
    </row>
    <row r="779">
      <c r="A779" s="19" t="n"/>
      <c r="C779" s="17" t="n"/>
      <c r="H779" s="20">
        <f>IF(OR(B779="",C779=""),0,IF(B779="Entrada",C779,-C779))</f>
        <v/>
      </c>
      <c r="I779" s="21">
        <f>IF(A779="","",YEAR(A779)*100+MONTH(A779))</f>
        <v/>
      </c>
      <c r="J779" s="21">
        <f>IF(E779="Essencial",1,IF(E779="Dívidas",2,IF(E779="Importante",3,IF(E779="Quero",4,""))))</f>
        <v/>
      </c>
    </row>
    <row r="780">
      <c r="A780" s="19" t="n"/>
      <c r="C780" s="17" t="n"/>
      <c r="H780" s="20">
        <f>IF(OR(B780="",C780=""),0,IF(B780="Entrada",C780,-C780))</f>
        <v/>
      </c>
      <c r="I780" s="21">
        <f>IF(A780="","",YEAR(A780)*100+MONTH(A780))</f>
        <v/>
      </c>
      <c r="J780" s="21">
        <f>IF(E780="Essencial",1,IF(E780="Dívidas",2,IF(E780="Importante",3,IF(E780="Quero",4,""))))</f>
        <v/>
      </c>
    </row>
    <row r="781">
      <c r="A781" s="19" t="n"/>
      <c r="C781" s="17" t="n"/>
      <c r="H781" s="20">
        <f>IF(OR(B781="",C781=""),0,IF(B781="Entrada",C781,-C781))</f>
        <v/>
      </c>
      <c r="I781" s="21">
        <f>IF(A781="","",YEAR(A781)*100+MONTH(A781))</f>
        <v/>
      </c>
      <c r="J781" s="21">
        <f>IF(E781="Essencial",1,IF(E781="Dívidas",2,IF(E781="Importante",3,IF(E781="Quero",4,""))))</f>
        <v/>
      </c>
    </row>
    <row r="782">
      <c r="A782" s="19" t="n"/>
      <c r="C782" s="17" t="n"/>
      <c r="H782" s="20">
        <f>IF(OR(B782="",C782=""),0,IF(B782="Entrada",C782,-C782))</f>
        <v/>
      </c>
      <c r="I782" s="21">
        <f>IF(A782="","",YEAR(A782)*100+MONTH(A782))</f>
        <v/>
      </c>
      <c r="J782" s="21">
        <f>IF(E782="Essencial",1,IF(E782="Dívidas",2,IF(E782="Importante",3,IF(E782="Quero",4,""))))</f>
        <v/>
      </c>
    </row>
    <row r="783">
      <c r="A783" s="19" t="n"/>
      <c r="C783" s="17" t="n"/>
      <c r="H783" s="20">
        <f>IF(OR(B783="",C783=""),0,IF(B783="Entrada",C783,-C783))</f>
        <v/>
      </c>
      <c r="I783" s="21">
        <f>IF(A783="","",YEAR(A783)*100+MONTH(A783))</f>
        <v/>
      </c>
      <c r="J783" s="21">
        <f>IF(E783="Essencial",1,IF(E783="Dívidas",2,IF(E783="Importante",3,IF(E783="Quero",4,""))))</f>
        <v/>
      </c>
    </row>
    <row r="784">
      <c r="A784" s="19" t="n"/>
      <c r="C784" s="17" t="n"/>
      <c r="H784" s="20">
        <f>IF(OR(B784="",C784=""),0,IF(B784="Entrada",C784,-C784))</f>
        <v/>
      </c>
      <c r="I784" s="21">
        <f>IF(A784="","",YEAR(A784)*100+MONTH(A784))</f>
        <v/>
      </c>
      <c r="J784" s="21">
        <f>IF(E784="Essencial",1,IF(E784="Dívidas",2,IF(E784="Importante",3,IF(E784="Quero",4,""))))</f>
        <v/>
      </c>
    </row>
    <row r="785">
      <c r="A785" s="19" t="n"/>
      <c r="C785" s="17" t="n"/>
      <c r="H785" s="20">
        <f>IF(OR(B785="",C785=""),0,IF(B785="Entrada",C785,-C785))</f>
        <v/>
      </c>
      <c r="I785" s="21">
        <f>IF(A785="","",YEAR(A785)*100+MONTH(A785))</f>
        <v/>
      </c>
      <c r="J785" s="21">
        <f>IF(E785="Essencial",1,IF(E785="Dívidas",2,IF(E785="Importante",3,IF(E785="Quero",4,""))))</f>
        <v/>
      </c>
    </row>
    <row r="786">
      <c r="A786" s="19" t="n"/>
      <c r="C786" s="17" t="n"/>
      <c r="H786" s="20">
        <f>IF(OR(B786="",C786=""),0,IF(B786="Entrada",C786,-C786))</f>
        <v/>
      </c>
      <c r="I786" s="21">
        <f>IF(A786="","",YEAR(A786)*100+MONTH(A786))</f>
        <v/>
      </c>
      <c r="J786" s="21">
        <f>IF(E786="Essencial",1,IF(E786="Dívidas",2,IF(E786="Importante",3,IF(E786="Quero",4,""))))</f>
        <v/>
      </c>
    </row>
    <row r="787">
      <c r="A787" s="19" t="n"/>
      <c r="C787" s="17" t="n"/>
      <c r="H787" s="20">
        <f>IF(OR(B787="",C787=""),0,IF(B787="Entrada",C787,-C787))</f>
        <v/>
      </c>
      <c r="I787" s="21">
        <f>IF(A787="","",YEAR(A787)*100+MONTH(A787))</f>
        <v/>
      </c>
      <c r="J787" s="21">
        <f>IF(E787="Essencial",1,IF(E787="Dívidas",2,IF(E787="Importante",3,IF(E787="Quero",4,""))))</f>
        <v/>
      </c>
    </row>
    <row r="788">
      <c r="A788" s="19" t="n"/>
      <c r="C788" s="17" t="n"/>
      <c r="H788" s="20">
        <f>IF(OR(B788="",C788=""),0,IF(B788="Entrada",C788,-C788))</f>
        <v/>
      </c>
      <c r="I788" s="21">
        <f>IF(A788="","",YEAR(A788)*100+MONTH(A788))</f>
        <v/>
      </c>
      <c r="J788" s="21">
        <f>IF(E788="Essencial",1,IF(E788="Dívidas",2,IF(E788="Importante",3,IF(E788="Quero",4,""))))</f>
        <v/>
      </c>
    </row>
    <row r="789">
      <c r="A789" s="19" t="n"/>
      <c r="C789" s="17" t="n"/>
      <c r="H789" s="20">
        <f>IF(OR(B789="",C789=""),0,IF(B789="Entrada",C789,-C789))</f>
        <v/>
      </c>
      <c r="I789" s="21">
        <f>IF(A789="","",YEAR(A789)*100+MONTH(A789))</f>
        <v/>
      </c>
      <c r="J789" s="21">
        <f>IF(E789="Essencial",1,IF(E789="Dívidas",2,IF(E789="Importante",3,IF(E789="Quero",4,""))))</f>
        <v/>
      </c>
    </row>
    <row r="790">
      <c r="A790" s="19" t="n"/>
      <c r="C790" s="17" t="n"/>
      <c r="H790" s="20">
        <f>IF(OR(B790="",C790=""),0,IF(B790="Entrada",C790,-C790))</f>
        <v/>
      </c>
      <c r="I790" s="21">
        <f>IF(A790="","",YEAR(A790)*100+MONTH(A790))</f>
        <v/>
      </c>
      <c r="J790" s="21">
        <f>IF(E790="Essencial",1,IF(E790="Dívidas",2,IF(E790="Importante",3,IF(E790="Quero",4,""))))</f>
        <v/>
      </c>
    </row>
    <row r="791">
      <c r="A791" s="19" t="n"/>
      <c r="C791" s="17" t="n"/>
      <c r="H791" s="20">
        <f>IF(OR(B791="",C791=""),0,IF(B791="Entrada",C791,-C791))</f>
        <v/>
      </c>
      <c r="I791" s="21">
        <f>IF(A791="","",YEAR(A791)*100+MONTH(A791))</f>
        <v/>
      </c>
      <c r="J791" s="21">
        <f>IF(E791="Essencial",1,IF(E791="Dívidas",2,IF(E791="Importante",3,IF(E791="Quero",4,""))))</f>
        <v/>
      </c>
    </row>
    <row r="792">
      <c r="A792" s="19" t="n"/>
      <c r="C792" s="17" t="n"/>
      <c r="H792" s="20">
        <f>IF(OR(B792="",C792=""),0,IF(B792="Entrada",C792,-C792))</f>
        <v/>
      </c>
      <c r="I792" s="21">
        <f>IF(A792="","",YEAR(A792)*100+MONTH(A792))</f>
        <v/>
      </c>
      <c r="J792" s="21">
        <f>IF(E792="Essencial",1,IF(E792="Dívidas",2,IF(E792="Importante",3,IF(E792="Quero",4,""))))</f>
        <v/>
      </c>
    </row>
    <row r="793">
      <c r="A793" s="19" t="n"/>
      <c r="C793" s="17" t="n"/>
      <c r="H793" s="20">
        <f>IF(OR(B793="",C793=""),0,IF(B793="Entrada",C793,-C793))</f>
        <v/>
      </c>
      <c r="I793" s="21">
        <f>IF(A793="","",YEAR(A793)*100+MONTH(A793))</f>
        <v/>
      </c>
      <c r="J793" s="21">
        <f>IF(E793="Essencial",1,IF(E793="Dívidas",2,IF(E793="Importante",3,IF(E793="Quero",4,""))))</f>
        <v/>
      </c>
    </row>
    <row r="794">
      <c r="A794" s="19" t="n"/>
      <c r="C794" s="17" t="n"/>
      <c r="H794" s="20">
        <f>IF(OR(B794="",C794=""),0,IF(B794="Entrada",C794,-C794))</f>
        <v/>
      </c>
      <c r="I794" s="21">
        <f>IF(A794="","",YEAR(A794)*100+MONTH(A794))</f>
        <v/>
      </c>
      <c r="J794" s="21">
        <f>IF(E794="Essencial",1,IF(E794="Dívidas",2,IF(E794="Importante",3,IF(E794="Quero",4,""))))</f>
        <v/>
      </c>
    </row>
    <row r="795">
      <c r="A795" s="19" t="n"/>
      <c r="C795" s="17" t="n"/>
      <c r="H795" s="20">
        <f>IF(OR(B795="",C795=""),0,IF(B795="Entrada",C795,-C795))</f>
        <v/>
      </c>
      <c r="I795" s="21">
        <f>IF(A795="","",YEAR(A795)*100+MONTH(A795))</f>
        <v/>
      </c>
      <c r="J795" s="21">
        <f>IF(E795="Essencial",1,IF(E795="Dívidas",2,IF(E795="Importante",3,IF(E795="Quero",4,""))))</f>
        <v/>
      </c>
    </row>
    <row r="796">
      <c r="A796" s="19" t="n"/>
      <c r="C796" s="17" t="n"/>
      <c r="H796" s="20">
        <f>IF(OR(B796="",C796=""),0,IF(B796="Entrada",C796,-C796))</f>
        <v/>
      </c>
      <c r="I796" s="21">
        <f>IF(A796="","",YEAR(A796)*100+MONTH(A796))</f>
        <v/>
      </c>
      <c r="J796" s="21">
        <f>IF(E796="Essencial",1,IF(E796="Dívidas",2,IF(E796="Importante",3,IF(E796="Quero",4,""))))</f>
        <v/>
      </c>
    </row>
    <row r="797">
      <c r="A797" s="19" t="n"/>
      <c r="C797" s="17" t="n"/>
      <c r="H797" s="20">
        <f>IF(OR(B797="",C797=""),0,IF(B797="Entrada",C797,-C797))</f>
        <v/>
      </c>
      <c r="I797" s="21">
        <f>IF(A797="","",YEAR(A797)*100+MONTH(A797))</f>
        <v/>
      </c>
      <c r="J797" s="21">
        <f>IF(E797="Essencial",1,IF(E797="Dívidas",2,IF(E797="Importante",3,IF(E797="Quero",4,""))))</f>
        <v/>
      </c>
    </row>
    <row r="798">
      <c r="A798" s="19" t="n"/>
      <c r="C798" s="17" t="n"/>
      <c r="H798" s="20">
        <f>IF(OR(B798="",C798=""),0,IF(B798="Entrada",C798,-C798))</f>
        <v/>
      </c>
      <c r="I798" s="21">
        <f>IF(A798="","",YEAR(A798)*100+MONTH(A798))</f>
        <v/>
      </c>
      <c r="J798" s="21">
        <f>IF(E798="Essencial",1,IF(E798="Dívidas",2,IF(E798="Importante",3,IF(E798="Quero",4,""))))</f>
        <v/>
      </c>
    </row>
    <row r="799">
      <c r="A799" s="19" t="n"/>
      <c r="C799" s="17" t="n"/>
      <c r="H799" s="20">
        <f>IF(OR(B799="",C799=""),0,IF(B799="Entrada",C799,-C799))</f>
        <v/>
      </c>
      <c r="I799" s="21">
        <f>IF(A799="","",YEAR(A799)*100+MONTH(A799))</f>
        <v/>
      </c>
      <c r="J799" s="21">
        <f>IF(E799="Essencial",1,IF(E799="Dívidas",2,IF(E799="Importante",3,IF(E799="Quero",4,""))))</f>
        <v/>
      </c>
    </row>
    <row r="800">
      <c r="A800" s="19" t="n"/>
      <c r="C800" s="17" t="n"/>
      <c r="H800" s="20">
        <f>IF(OR(B800="",C800=""),0,IF(B800="Entrada",C800,-C800))</f>
        <v/>
      </c>
      <c r="I800" s="21">
        <f>IF(A800="","",YEAR(A800)*100+MONTH(A800))</f>
        <v/>
      </c>
      <c r="J800" s="21">
        <f>IF(E800="Essencial",1,IF(E800="Dívidas",2,IF(E800="Importante",3,IF(E800="Quero",4,""))))</f>
        <v/>
      </c>
    </row>
    <row r="801">
      <c r="A801" s="19" t="n"/>
      <c r="C801" s="17" t="n"/>
      <c r="H801" s="20">
        <f>IF(OR(B801="",C801=""),0,IF(B801="Entrada",C801,-C801))</f>
        <v/>
      </c>
      <c r="I801" s="21">
        <f>IF(A801="","",YEAR(A801)*100+MONTH(A801))</f>
        <v/>
      </c>
      <c r="J801" s="21">
        <f>IF(E801="Essencial",1,IF(E801="Dívidas",2,IF(E801="Importante",3,IF(E801="Quero",4,""))))</f>
        <v/>
      </c>
    </row>
    <row r="802">
      <c r="A802" s="19" t="n"/>
      <c r="C802" s="17" t="n"/>
      <c r="H802" s="20">
        <f>IF(OR(B802="",C802=""),0,IF(B802="Entrada",C802,-C802))</f>
        <v/>
      </c>
      <c r="I802" s="21">
        <f>IF(A802="","",YEAR(A802)*100+MONTH(A802))</f>
        <v/>
      </c>
      <c r="J802" s="21">
        <f>IF(E802="Essencial",1,IF(E802="Dívidas",2,IF(E802="Importante",3,IF(E802="Quero",4,""))))</f>
        <v/>
      </c>
    </row>
    <row r="803">
      <c r="A803" s="19" t="n"/>
      <c r="C803" s="17" t="n"/>
      <c r="H803" s="20">
        <f>IF(OR(B803="",C803=""),0,IF(B803="Entrada",C803,-C803))</f>
        <v/>
      </c>
      <c r="I803" s="21">
        <f>IF(A803="","",YEAR(A803)*100+MONTH(A803))</f>
        <v/>
      </c>
      <c r="J803" s="21">
        <f>IF(E803="Essencial",1,IF(E803="Dívidas",2,IF(E803="Importante",3,IF(E803="Quero",4,""))))</f>
        <v/>
      </c>
    </row>
    <row r="804">
      <c r="A804" s="19" t="n"/>
      <c r="C804" s="17" t="n"/>
      <c r="H804" s="20">
        <f>IF(OR(B804="",C804=""),0,IF(B804="Entrada",C804,-C804))</f>
        <v/>
      </c>
      <c r="I804" s="21">
        <f>IF(A804="","",YEAR(A804)*100+MONTH(A804))</f>
        <v/>
      </c>
      <c r="J804" s="21">
        <f>IF(E804="Essencial",1,IF(E804="Dívidas",2,IF(E804="Importante",3,IF(E804="Quero",4,""))))</f>
        <v/>
      </c>
    </row>
    <row r="805">
      <c r="A805" s="19" t="n"/>
      <c r="C805" s="17" t="n"/>
      <c r="H805" s="20">
        <f>IF(OR(B805="",C805=""),0,IF(B805="Entrada",C805,-C805))</f>
        <v/>
      </c>
      <c r="I805" s="21">
        <f>IF(A805="","",YEAR(A805)*100+MONTH(A805))</f>
        <v/>
      </c>
      <c r="J805" s="21">
        <f>IF(E805="Essencial",1,IF(E805="Dívidas",2,IF(E805="Importante",3,IF(E805="Quero",4,""))))</f>
        <v/>
      </c>
    </row>
    <row r="806">
      <c r="A806" s="19" t="n"/>
      <c r="C806" s="17" t="n"/>
      <c r="H806" s="20">
        <f>IF(OR(B806="",C806=""),0,IF(B806="Entrada",C806,-C806))</f>
        <v/>
      </c>
      <c r="I806" s="21">
        <f>IF(A806="","",YEAR(A806)*100+MONTH(A806))</f>
        <v/>
      </c>
      <c r="J806" s="21">
        <f>IF(E806="Essencial",1,IF(E806="Dívidas",2,IF(E806="Importante",3,IF(E806="Quero",4,""))))</f>
        <v/>
      </c>
    </row>
    <row r="807">
      <c r="A807" s="19" t="n"/>
      <c r="C807" s="17" t="n"/>
      <c r="H807" s="20">
        <f>IF(OR(B807="",C807=""),0,IF(B807="Entrada",C807,-C807))</f>
        <v/>
      </c>
      <c r="I807" s="21">
        <f>IF(A807="","",YEAR(A807)*100+MONTH(A807))</f>
        <v/>
      </c>
      <c r="J807" s="21">
        <f>IF(E807="Essencial",1,IF(E807="Dívidas",2,IF(E807="Importante",3,IF(E807="Quero",4,""))))</f>
        <v/>
      </c>
    </row>
    <row r="808">
      <c r="A808" s="19" t="n"/>
      <c r="C808" s="17" t="n"/>
      <c r="H808" s="20">
        <f>IF(OR(B808="",C808=""),0,IF(B808="Entrada",C808,-C808))</f>
        <v/>
      </c>
      <c r="I808" s="21">
        <f>IF(A808="","",YEAR(A808)*100+MONTH(A808))</f>
        <v/>
      </c>
      <c r="J808" s="21">
        <f>IF(E808="Essencial",1,IF(E808="Dívidas",2,IF(E808="Importante",3,IF(E808="Quero",4,""))))</f>
        <v/>
      </c>
    </row>
    <row r="809">
      <c r="A809" s="19" t="n"/>
      <c r="C809" s="17" t="n"/>
      <c r="H809" s="20">
        <f>IF(OR(B809="",C809=""),0,IF(B809="Entrada",C809,-C809))</f>
        <v/>
      </c>
      <c r="I809" s="21">
        <f>IF(A809="","",YEAR(A809)*100+MONTH(A809))</f>
        <v/>
      </c>
      <c r="J809" s="21">
        <f>IF(E809="Essencial",1,IF(E809="Dívidas",2,IF(E809="Importante",3,IF(E809="Quero",4,""))))</f>
        <v/>
      </c>
    </row>
    <row r="810">
      <c r="A810" s="19" t="n"/>
      <c r="C810" s="17" t="n"/>
      <c r="H810" s="20">
        <f>IF(OR(B810="",C810=""),0,IF(B810="Entrada",C810,-C810))</f>
        <v/>
      </c>
      <c r="I810" s="21">
        <f>IF(A810="","",YEAR(A810)*100+MONTH(A810))</f>
        <v/>
      </c>
      <c r="J810" s="21">
        <f>IF(E810="Essencial",1,IF(E810="Dívidas",2,IF(E810="Importante",3,IF(E810="Quero",4,""))))</f>
        <v/>
      </c>
    </row>
    <row r="811">
      <c r="A811" s="19" t="n"/>
      <c r="C811" s="17" t="n"/>
      <c r="H811" s="20">
        <f>IF(OR(B811="",C811=""),0,IF(B811="Entrada",C811,-C811))</f>
        <v/>
      </c>
      <c r="I811" s="21">
        <f>IF(A811="","",YEAR(A811)*100+MONTH(A811))</f>
        <v/>
      </c>
      <c r="J811" s="21">
        <f>IF(E811="Essencial",1,IF(E811="Dívidas",2,IF(E811="Importante",3,IF(E811="Quero",4,""))))</f>
        <v/>
      </c>
    </row>
    <row r="812">
      <c r="A812" s="19" t="n"/>
      <c r="C812" s="17" t="n"/>
      <c r="H812" s="20">
        <f>IF(OR(B812="",C812=""),0,IF(B812="Entrada",C812,-C812))</f>
        <v/>
      </c>
      <c r="I812" s="21">
        <f>IF(A812="","",YEAR(A812)*100+MONTH(A812))</f>
        <v/>
      </c>
      <c r="J812" s="21">
        <f>IF(E812="Essencial",1,IF(E812="Dívidas",2,IF(E812="Importante",3,IF(E812="Quero",4,""))))</f>
        <v/>
      </c>
    </row>
    <row r="813">
      <c r="A813" s="19" t="n"/>
      <c r="C813" s="17" t="n"/>
      <c r="H813" s="20">
        <f>IF(OR(B813="",C813=""),0,IF(B813="Entrada",C813,-C813))</f>
        <v/>
      </c>
      <c r="I813" s="21">
        <f>IF(A813="","",YEAR(A813)*100+MONTH(A813))</f>
        <v/>
      </c>
      <c r="J813" s="21">
        <f>IF(E813="Essencial",1,IF(E813="Dívidas",2,IF(E813="Importante",3,IF(E813="Quero",4,""))))</f>
        <v/>
      </c>
    </row>
    <row r="814">
      <c r="A814" s="19" t="n"/>
      <c r="C814" s="17" t="n"/>
      <c r="H814" s="20">
        <f>IF(OR(B814="",C814=""),0,IF(B814="Entrada",C814,-C814))</f>
        <v/>
      </c>
      <c r="I814" s="21">
        <f>IF(A814="","",YEAR(A814)*100+MONTH(A814))</f>
        <v/>
      </c>
      <c r="J814" s="21">
        <f>IF(E814="Essencial",1,IF(E814="Dívidas",2,IF(E814="Importante",3,IF(E814="Quero",4,""))))</f>
        <v/>
      </c>
    </row>
    <row r="815">
      <c r="A815" s="19" t="n"/>
      <c r="C815" s="17" t="n"/>
      <c r="H815" s="20">
        <f>IF(OR(B815="",C815=""),0,IF(B815="Entrada",C815,-C815))</f>
        <v/>
      </c>
      <c r="I815" s="21">
        <f>IF(A815="","",YEAR(A815)*100+MONTH(A815))</f>
        <v/>
      </c>
      <c r="J815" s="21">
        <f>IF(E815="Essencial",1,IF(E815="Dívidas",2,IF(E815="Importante",3,IF(E815="Quero",4,""))))</f>
        <v/>
      </c>
    </row>
    <row r="816">
      <c r="A816" s="19" t="n"/>
      <c r="C816" s="17" t="n"/>
      <c r="H816" s="20">
        <f>IF(OR(B816="",C816=""),0,IF(B816="Entrada",C816,-C816))</f>
        <v/>
      </c>
      <c r="I816" s="21">
        <f>IF(A816="","",YEAR(A816)*100+MONTH(A816))</f>
        <v/>
      </c>
      <c r="J816" s="21">
        <f>IF(E816="Essencial",1,IF(E816="Dívidas",2,IF(E816="Importante",3,IF(E816="Quero",4,""))))</f>
        <v/>
      </c>
    </row>
    <row r="817">
      <c r="A817" s="19" t="n"/>
      <c r="C817" s="17" t="n"/>
      <c r="H817" s="20">
        <f>IF(OR(B817="",C817=""),0,IF(B817="Entrada",C817,-C817))</f>
        <v/>
      </c>
      <c r="I817" s="21">
        <f>IF(A817="","",YEAR(A817)*100+MONTH(A817))</f>
        <v/>
      </c>
      <c r="J817" s="21">
        <f>IF(E817="Essencial",1,IF(E817="Dívidas",2,IF(E817="Importante",3,IF(E817="Quero",4,""))))</f>
        <v/>
      </c>
    </row>
    <row r="818">
      <c r="A818" s="19" t="n"/>
      <c r="C818" s="17" t="n"/>
      <c r="H818" s="20">
        <f>IF(OR(B818="",C818=""),0,IF(B818="Entrada",C818,-C818))</f>
        <v/>
      </c>
      <c r="I818" s="21">
        <f>IF(A818="","",YEAR(A818)*100+MONTH(A818))</f>
        <v/>
      </c>
      <c r="J818" s="21">
        <f>IF(E818="Essencial",1,IF(E818="Dívidas",2,IF(E818="Importante",3,IF(E818="Quero",4,""))))</f>
        <v/>
      </c>
    </row>
    <row r="819">
      <c r="A819" s="19" t="n"/>
      <c r="C819" s="17" t="n"/>
      <c r="H819" s="20">
        <f>IF(OR(B819="",C819=""),0,IF(B819="Entrada",C819,-C819))</f>
        <v/>
      </c>
      <c r="I819" s="21">
        <f>IF(A819="","",YEAR(A819)*100+MONTH(A819))</f>
        <v/>
      </c>
      <c r="J819" s="21">
        <f>IF(E819="Essencial",1,IF(E819="Dívidas",2,IF(E819="Importante",3,IF(E819="Quero",4,""))))</f>
        <v/>
      </c>
    </row>
    <row r="820">
      <c r="A820" s="19" t="n"/>
      <c r="C820" s="17" t="n"/>
      <c r="H820" s="20">
        <f>IF(OR(B820="",C820=""),0,IF(B820="Entrada",C820,-C820))</f>
        <v/>
      </c>
      <c r="I820" s="21">
        <f>IF(A820="","",YEAR(A820)*100+MONTH(A820))</f>
        <v/>
      </c>
      <c r="J820" s="21">
        <f>IF(E820="Essencial",1,IF(E820="Dívidas",2,IF(E820="Importante",3,IF(E820="Quero",4,""))))</f>
        <v/>
      </c>
    </row>
    <row r="821">
      <c r="A821" s="19" t="n"/>
      <c r="C821" s="17" t="n"/>
      <c r="H821" s="20">
        <f>IF(OR(B821="",C821=""),0,IF(B821="Entrada",C821,-C821))</f>
        <v/>
      </c>
      <c r="I821" s="21">
        <f>IF(A821="","",YEAR(A821)*100+MONTH(A821))</f>
        <v/>
      </c>
      <c r="J821" s="21">
        <f>IF(E821="Essencial",1,IF(E821="Dívidas",2,IF(E821="Importante",3,IF(E821="Quero",4,""))))</f>
        <v/>
      </c>
    </row>
    <row r="822">
      <c r="A822" s="19" t="n"/>
      <c r="C822" s="17" t="n"/>
      <c r="H822" s="20">
        <f>IF(OR(B822="",C822=""),0,IF(B822="Entrada",C822,-C822))</f>
        <v/>
      </c>
      <c r="I822" s="21">
        <f>IF(A822="","",YEAR(A822)*100+MONTH(A822))</f>
        <v/>
      </c>
      <c r="J822" s="21">
        <f>IF(E822="Essencial",1,IF(E822="Dívidas",2,IF(E822="Importante",3,IF(E822="Quero",4,""))))</f>
        <v/>
      </c>
    </row>
    <row r="823">
      <c r="A823" s="19" t="n"/>
      <c r="C823" s="17" t="n"/>
      <c r="H823" s="20">
        <f>IF(OR(B823="",C823=""),0,IF(B823="Entrada",C823,-C823))</f>
        <v/>
      </c>
      <c r="I823" s="21">
        <f>IF(A823="","",YEAR(A823)*100+MONTH(A823))</f>
        <v/>
      </c>
      <c r="J823" s="21">
        <f>IF(E823="Essencial",1,IF(E823="Dívidas",2,IF(E823="Importante",3,IF(E823="Quero",4,""))))</f>
        <v/>
      </c>
    </row>
    <row r="824">
      <c r="A824" s="19" t="n"/>
      <c r="C824" s="17" t="n"/>
      <c r="H824" s="20">
        <f>IF(OR(B824="",C824=""),0,IF(B824="Entrada",C824,-C824))</f>
        <v/>
      </c>
      <c r="I824" s="21">
        <f>IF(A824="","",YEAR(A824)*100+MONTH(A824))</f>
        <v/>
      </c>
      <c r="J824" s="21">
        <f>IF(E824="Essencial",1,IF(E824="Dívidas",2,IF(E824="Importante",3,IF(E824="Quero",4,""))))</f>
        <v/>
      </c>
    </row>
    <row r="825">
      <c r="A825" s="19" t="n"/>
      <c r="C825" s="17" t="n"/>
      <c r="H825" s="20">
        <f>IF(OR(B825="",C825=""),0,IF(B825="Entrada",C825,-C825))</f>
        <v/>
      </c>
      <c r="I825" s="21">
        <f>IF(A825="","",YEAR(A825)*100+MONTH(A825))</f>
        <v/>
      </c>
      <c r="J825" s="21">
        <f>IF(E825="Essencial",1,IF(E825="Dívidas",2,IF(E825="Importante",3,IF(E825="Quero",4,""))))</f>
        <v/>
      </c>
    </row>
    <row r="826">
      <c r="A826" s="19" t="n"/>
      <c r="C826" s="17" t="n"/>
      <c r="H826" s="20">
        <f>IF(OR(B826="",C826=""),0,IF(B826="Entrada",C826,-C826))</f>
        <v/>
      </c>
      <c r="I826" s="21">
        <f>IF(A826="","",YEAR(A826)*100+MONTH(A826))</f>
        <v/>
      </c>
      <c r="J826" s="21">
        <f>IF(E826="Essencial",1,IF(E826="Dívidas",2,IF(E826="Importante",3,IF(E826="Quero",4,""))))</f>
        <v/>
      </c>
    </row>
    <row r="827">
      <c r="A827" s="19" t="n"/>
      <c r="C827" s="17" t="n"/>
      <c r="H827" s="20">
        <f>IF(OR(B827="",C827=""),0,IF(B827="Entrada",C827,-C827))</f>
        <v/>
      </c>
      <c r="I827" s="21">
        <f>IF(A827="","",YEAR(A827)*100+MONTH(A827))</f>
        <v/>
      </c>
      <c r="J827" s="21">
        <f>IF(E827="Essencial",1,IF(E827="Dívidas",2,IF(E827="Importante",3,IF(E827="Quero",4,""))))</f>
        <v/>
      </c>
    </row>
    <row r="828">
      <c r="A828" s="19" t="n"/>
      <c r="C828" s="17" t="n"/>
      <c r="H828" s="20">
        <f>IF(OR(B828="",C828=""),0,IF(B828="Entrada",C828,-C828))</f>
        <v/>
      </c>
      <c r="I828" s="21">
        <f>IF(A828="","",YEAR(A828)*100+MONTH(A828))</f>
        <v/>
      </c>
      <c r="J828" s="21">
        <f>IF(E828="Essencial",1,IF(E828="Dívidas",2,IF(E828="Importante",3,IF(E828="Quero",4,""))))</f>
        <v/>
      </c>
    </row>
    <row r="829">
      <c r="A829" s="19" t="n"/>
      <c r="C829" s="17" t="n"/>
      <c r="H829" s="20">
        <f>IF(OR(B829="",C829=""),0,IF(B829="Entrada",C829,-C829))</f>
        <v/>
      </c>
      <c r="I829" s="21">
        <f>IF(A829="","",YEAR(A829)*100+MONTH(A829))</f>
        <v/>
      </c>
      <c r="J829" s="21">
        <f>IF(E829="Essencial",1,IF(E829="Dívidas",2,IF(E829="Importante",3,IF(E829="Quero",4,""))))</f>
        <v/>
      </c>
    </row>
    <row r="830">
      <c r="A830" s="19" t="n"/>
      <c r="C830" s="17" t="n"/>
      <c r="H830" s="20">
        <f>IF(OR(B830="",C830=""),0,IF(B830="Entrada",C830,-C830))</f>
        <v/>
      </c>
      <c r="I830" s="21">
        <f>IF(A830="","",YEAR(A830)*100+MONTH(A830))</f>
        <v/>
      </c>
      <c r="J830" s="21">
        <f>IF(E830="Essencial",1,IF(E830="Dívidas",2,IF(E830="Importante",3,IF(E830="Quero",4,""))))</f>
        <v/>
      </c>
    </row>
    <row r="831">
      <c r="A831" s="19" t="n"/>
      <c r="C831" s="17" t="n"/>
      <c r="H831" s="20">
        <f>IF(OR(B831="",C831=""),0,IF(B831="Entrada",C831,-C831))</f>
        <v/>
      </c>
      <c r="I831" s="21">
        <f>IF(A831="","",YEAR(A831)*100+MONTH(A831))</f>
        <v/>
      </c>
      <c r="J831" s="21">
        <f>IF(E831="Essencial",1,IF(E831="Dívidas",2,IF(E831="Importante",3,IF(E831="Quero",4,""))))</f>
        <v/>
      </c>
    </row>
    <row r="832">
      <c r="A832" s="19" t="n"/>
      <c r="C832" s="17" t="n"/>
      <c r="H832" s="20">
        <f>IF(OR(B832="",C832=""),0,IF(B832="Entrada",C832,-C832))</f>
        <v/>
      </c>
      <c r="I832" s="21">
        <f>IF(A832="","",YEAR(A832)*100+MONTH(A832))</f>
        <v/>
      </c>
      <c r="J832" s="21">
        <f>IF(E832="Essencial",1,IF(E832="Dívidas",2,IF(E832="Importante",3,IF(E832="Quero",4,""))))</f>
        <v/>
      </c>
    </row>
    <row r="833">
      <c r="A833" s="19" t="n"/>
      <c r="C833" s="17" t="n"/>
      <c r="H833" s="20">
        <f>IF(OR(B833="",C833=""),0,IF(B833="Entrada",C833,-C833))</f>
        <v/>
      </c>
      <c r="I833" s="21">
        <f>IF(A833="","",YEAR(A833)*100+MONTH(A833))</f>
        <v/>
      </c>
      <c r="J833" s="21">
        <f>IF(E833="Essencial",1,IF(E833="Dívidas",2,IF(E833="Importante",3,IF(E833="Quero",4,""))))</f>
        <v/>
      </c>
    </row>
    <row r="834">
      <c r="A834" s="19" t="n"/>
      <c r="C834" s="17" t="n"/>
      <c r="H834" s="20">
        <f>IF(OR(B834="",C834=""),0,IF(B834="Entrada",C834,-C834))</f>
        <v/>
      </c>
      <c r="I834" s="21">
        <f>IF(A834="","",YEAR(A834)*100+MONTH(A834))</f>
        <v/>
      </c>
      <c r="J834" s="21">
        <f>IF(E834="Essencial",1,IF(E834="Dívidas",2,IF(E834="Importante",3,IF(E834="Quero",4,""))))</f>
        <v/>
      </c>
    </row>
    <row r="835">
      <c r="A835" s="19" t="n"/>
      <c r="C835" s="17" t="n"/>
      <c r="H835" s="20">
        <f>IF(OR(B835="",C835=""),0,IF(B835="Entrada",C835,-C835))</f>
        <v/>
      </c>
      <c r="I835" s="21">
        <f>IF(A835="","",YEAR(A835)*100+MONTH(A835))</f>
        <v/>
      </c>
      <c r="J835" s="21">
        <f>IF(E835="Essencial",1,IF(E835="Dívidas",2,IF(E835="Importante",3,IF(E835="Quero",4,""))))</f>
        <v/>
      </c>
    </row>
    <row r="836">
      <c r="A836" s="19" t="n"/>
      <c r="C836" s="17" t="n"/>
      <c r="H836" s="20">
        <f>IF(OR(B836="",C836=""),0,IF(B836="Entrada",C836,-C836))</f>
        <v/>
      </c>
      <c r="I836" s="21">
        <f>IF(A836="","",YEAR(A836)*100+MONTH(A836))</f>
        <v/>
      </c>
      <c r="J836" s="21">
        <f>IF(E836="Essencial",1,IF(E836="Dívidas",2,IF(E836="Importante",3,IF(E836="Quero",4,""))))</f>
        <v/>
      </c>
    </row>
    <row r="837">
      <c r="A837" s="19" t="n"/>
      <c r="C837" s="17" t="n"/>
      <c r="H837" s="20">
        <f>IF(OR(B837="",C837=""),0,IF(B837="Entrada",C837,-C837))</f>
        <v/>
      </c>
      <c r="I837" s="21">
        <f>IF(A837="","",YEAR(A837)*100+MONTH(A837))</f>
        <v/>
      </c>
      <c r="J837" s="21">
        <f>IF(E837="Essencial",1,IF(E837="Dívidas",2,IF(E837="Importante",3,IF(E837="Quero",4,""))))</f>
        <v/>
      </c>
    </row>
    <row r="838">
      <c r="A838" s="19" t="n"/>
      <c r="C838" s="17" t="n"/>
      <c r="H838" s="20">
        <f>IF(OR(B838="",C838=""),0,IF(B838="Entrada",C838,-C838))</f>
        <v/>
      </c>
      <c r="I838" s="21">
        <f>IF(A838="","",YEAR(A838)*100+MONTH(A838))</f>
        <v/>
      </c>
      <c r="J838" s="21">
        <f>IF(E838="Essencial",1,IF(E838="Dívidas",2,IF(E838="Importante",3,IF(E838="Quero",4,""))))</f>
        <v/>
      </c>
    </row>
    <row r="839">
      <c r="A839" s="19" t="n"/>
      <c r="C839" s="17" t="n"/>
      <c r="H839" s="20">
        <f>IF(OR(B839="",C839=""),0,IF(B839="Entrada",C839,-C839))</f>
        <v/>
      </c>
      <c r="I839" s="21">
        <f>IF(A839="","",YEAR(A839)*100+MONTH(A839))</f>
        <v/>
      </c>
      <c r="J839" s="21">
        <f>IF(E839="Essencial",1,IF(E839="Dívidas",2,IF(E839="Importante",3,IF(E839="Quero",4,""))))</f>
        <v/>
      </c>
    </row>
    <row r="840">
      <c r="A840" s="19" t="n"/>
      <c r="C840" s="17" t="n"/>
      <c r="H840" s="20">
        <f>IF(OR(B840="",C840=""),0,IF(B840="Entrada",C840,-C840))</f>
        <v/>
      </c>
      <c r="I840" s="21">
        <f>IF(A840="","",YEAR(A840)*100+MONTH(A840))</f>
        <v/>
      </c>
      <c r="J840" s="21">
        <f>IF(E840="Essencial",1,IF(E840="Dívidas",2,IF(E840="Importante",3,IF(E840="Quero",4,""))))</f>
        <v/>
      </c>
    </row>
    <row r="841">
      <c r="A841" s="19" t="n"/>
      <c r="C841" s="17" t="n"/>
      <c r="H841" s="20">
        <f>IF(OR(B841="",C841=""),0,IF(B841="Entrada",C841,-C841))</f>
        <v/>
      </c>
      <c r="I841" s="21">
        <f>IF(A841="","",YEAR(A841)*100+MONTH(A841))</f>
        <v/>
      </c>
      <c r="J841" s="21">
        <f>IF(E841="Essencial",1,IF(E841="Dívidas",2,IF(E841="Importante",3,IF(E841="Quero",4,""))))</f>
        <v/>
      </c>
    </row>
    <row r="842">
      <c r="A842" s="19" t="n"/>
      <c r="C842" s="17" t="n"/>
      <c r="H842" s="20">
        <f>IF(OR(B842="",C842=""),0,IF(B842="Entrada",C842,-C842))</f>
        <v/>
      </c>
      <c r="I842" s="21">
        <f>IF(A842="","",YEAR(A842)*100+MONTH(A842))</f>
        <v/>
      </c>
      <c r="J842" s="21">
        <f>IF(E842="Essencial",1,IF(E842="Dívidas",2,IF(E842="Importante",3,IF(E842="Quero",4,""))))</f>
        <v/>
      </c>
    </row>
    <row r="843">
      <c r="A843" s="19" t="n"/>
      <c r="C843" s="17" t="n"/>
      <c r="H843" s="20">
        <f>IF(OR(B843="",C843=""),0,IF(B843="Entrada",C843,-C843))</f>
        <v/>
      </c>
      <c r="I843" s="21">
        <f>IF(A843="","",YEAR(A843)*100+MONTH(A843))</f>
        <v/>
      </c>
      <c r="J843" s="21">
        <f>IF(E843="Essencial",1,IF(E843="Dívidas",2,IF(E843="Importante",3,IF(E843="Quero",4,""))))</f>
        <v/>
      </c>
    </row>
    <row r="844">
      <c r="A844" s="19" t="n"/>
      <c r="C844" s="17" t="n"/>
      <c r="H844" s="20">
        <f>IF(OR(B844="",C844=""),0,IF(B844="Entrada",C844,-C844))</f>
        <v/>
      </c>
      <c r="I844" s="21">
        <f>IF(A844="","",YEAR(A844)*100+MONTH(A844))</f>
        <v/>
      </c>
      <c r="J844" s="21">
        <f>IF(E844="Essencial",1,IF(E844="Dívidas",2,IF(E844="Importante",3,IF(E844="Quero",4,""))))</f>
        <v/>
      </c>
    </row>
    <row r="845">
      <c r="A845" s="19" t="n"/>
      <c r="C845" s="17" t="n"/>
      <c r="H845" s="20">
        <f>IF(OR(B845="",C845=""),0,IF(B845="Entrada",C845,-C845))</f>
        <v/>
      </c>
      <c r="I845" s="21">
        <f>IF(A845="","",YEAR(A845)*100+MONTH(A845))</f>
        <v/>
      </c>
      <c r="J845" s="21">
        <f>IF(E845="Essencial",1,IF(E845="Dívidas",2,IF(E845="Importante",3,IF(E845="Quero",4,""))))</f>
        <v/>
      </c>
    </row>
    <row r="846">
      <c r="A846" s="19" t="n"/>
      <c r="C846" s="17" t="n"/>
      <c r="H846" s="20">
        <f>IF(OR(B846="",C846=""),0,IF(B846="Entrada",C846,-C846))</f>
        <v/>
      </c>
      <c r="I846" s="21">
        <f>IF(A846="","",YEAR(A846)*100+MONTH(A846))</f>
        <v/>
      </c>
      <c r="J846" s="21">
        <f>IF(E846="Essencial",1,IF(E846="Dívidas",2,IF(E846="Importante",3,IF(E846="Quero",4,""))))</f>
        <v/>
      </c>
    </row>
    <row r="847">
      <c r="A847" s="19" t="n"/>
      <c r="C847" s="17" t="n"/>
      <c r="H847" s="20">
        <f>IF(OR(B847="",C847=""),0,IF(B847="Entrada",C847,-C847))</f>
        <v/>
      </c>
      <c r="I847" s="21">
        <f>IF(A847="","",YEAR(A847)*100+MONTH(A847))</f>
        <v/>
      </c>
      <c r="J847" s="21">
        <f>IF(E847="Essencial",1,IF(E847="Dívidas",2,IF(E847="Importante",3,IF(E847="Quero",4,""))))</f>
        <v/>
      </c>
    </row>
    <row r="848">
      <c r="A848" s="19" t="n"/>
      <c r="C848" s="17" t="n"/>
      <c r="H848" s="20">
        <f>IF(OR(B848="",C848=""),0,IF(B848="Entrada",C848,-C848))</f>
        <v/>
      </c>
      <c r="I848" s="21">
        <f>IF(A848="","",YEAR(A848)*100+MONTH(A848))</f>
        <v/>
      </c>
      <c r="J848" s="21">
        <f>IF(E848="Essencial",1,IF(E848="Dívidas",2,IF(E848="Importante",3,IF(E848="Quero",4,""))))</f>
        <v/>
      </c>
    </row>
    <row r="849">
      <c r="A849" s="19" t="n"/>
      <c r="C849" s="17" t="n"/>
      <c r="H849" s="20">
        <f>IF(OR(B849="",C849=""),0,IF(B849="Entrada",C849,-C849))</f>
        <v/>
      </c>
      <c r="I849" s="21">
        <f>IF(A849="","",YEAR(A849)*100+MONTH(A849))</f>
        <v/>
      </c>
      <c r="J849" s="21">
        <f>IF(E849="Essencial",1,IF(E849="Dívidas",2,IF(E849="Importante",3,IF(E849="Quero",4,""))))</f>
        <v/>
      </c>
    </row>
    <row r="850">
      <c r="A850" s="19" t="n"/>
      <c r="C850" s="17" t="n"/>
      <c r="H850" s="20">
        <f>IF(OR(B850="",C850=""),0,IF(B850="Entrada",C850,-C850))</f>
        <v/>
      </c>
      <c r="I850" s="21">
        <f>IF(A850="","",YEAR(A850)*100+MONTH(A850))</f>
        <v/>
      </c>
      <c r="J850" s="21">
        <f>IF(E850="Essencial",1,IF(E850="Dívidas",2,IF(E850="Importante",3,IF(E850="Quero",4,""))))</f>
        <v/>
      </c>
    </row>
    <row r="851">
      <c r="A851" s="19" t="n"/>
      <c r="C851" s="17" t="n"/>
      <c r="H851" s="20">
        <f>IF(OR(B851="",C851=""),0,IF(B851="Entrada",C851,-C851))</f>
        <v/>
      </c>
      <c r="I851" s="21">
        <f>IF(A851="","",YEAR(A851)*100+MONTH(A851))</f>
        <v/>
      </c>
      <c r="J851" s="21">
        <f>IF(E851="Essencial",1,IF(E851="Dívidas",2,IF(E851="Importante",3,IF(E851="Quero",4,""))))</f>
        <v/>
      </c>
    </row>
    <row r="852">
      <c r="A852" s="19" t="n"/>
      <c r="C852" s="17" t="n"/>
      <c r="H852" s="20">
        <f>IF(OR(B852="",C852=""),0,IF(B852="Entrada",C852,-C852))</f>
        <v/>
      </c>
      <c r="I852" s="21">
        <f>IF(A852="","",YEAR(A852)*100+MONTH(A852))</f>
        <v/>
      </c>
      <c r="J852" s="21">
        <f>IF(E852="Essencial",1,IF(E852="Dívidas",2,IF(E852="Importante",3,IF(E852="Quero",4,""))))</f>
        <v/>
      </c>
    </row>
    <row r="853">
      <c r="A853" s="19" t="n"/>
      <c r="C853" s="17" t="n"/>
      <c r="H853" s="20">
        <f>IF(OR(B853="",C853=""),0,IF(B853="Entrada",C853,-C853))</f>
        <v/>
      </c>
      <c r="I853" s="21">
        <f>IF(A853="","",YEAR(A853)*100+MONTH(A853))</f>
        <v/>
      </c>
      <c r="J853" s="21">
        <f>IF(E853="Essencial",1,IF(E853="Dívidas",2,IF(E853="Importante",3,IF(E853="Quero",4,""))))</f>
        <v/>
      </c>
    </row>
    <row r="854">
      <c r="A854" s="19" t="n"/>
      <c r="C854" s="17" t="n"/>
      <c r="H854" s="20">
        <f>IF(OR(B854="",C854=""),0,IF(B854="Entrada",C854,-C854))</f>
        <v/>
      </c>
      <c r="I854" s="21">
        <f>IF(A854="","",YEAR(A854)*100+MONTH(A854))</f>
        <v/>
      </c>
      <c r="J854" s="21">
        <f>IF(E854="Essencial",1,IF(E854="Dívidas",2,IF(E854="Importante",3,IF(E854="Quero",4,""))))</f>
        <v/>
      </c>
    </row>
    <row r="855">
      <c r="A855" s="19" t="n"/>
      <c r="C855" s="17" t="n"/>
      <c r="H855" s="20">
        <f>IF(OR(B855="",C855=""),0,IF(B855="Entrada",C855,-C855))</f>
        <v/>
      </c>
      <c r="I855" s="21">
        <f>IF(A855="","",YEAR(A855)*100+MONTH(A855))</f>
        <v/>
      </c>
      <c r="J855" s="21">
        <f>IF(E855="Essencial",1,IF(E855="Dívidas",2,IF(E855="Importante",3,IF(E855="Quero",4,""))))</f>
        <v/>
      </c>
    </row>
    <row r="856">
      <c r="A856" s="19" t="n"/>
      <c r="C856" s="17" t="n"/>
      <c r="H856" s="20">
        <f>IF(OR(B856="",C856=""),0,IF(B856="Entrada",C856,-C856))</f>
        <v/>
      </c>
      <c r="I856" s="21">
        <f>IF(A856="","",YEAR(A856)*100+MONTH(A856))</f>
        <v/>
      </c>
      <c r="J856" s="21">
        <f>IF(E856="Essencial",1,IF(E856="Dívidas",2,IF(E856="Importante",3,IF(E856="Quero",4,""))))</f>
        <v/>
      </c>
    </row>
    <row r="857">
      <c r="A857" s="19" t="n"/>
      <c r="C857" s="17" t="n"/>
      <c r="H857" s="20">
        <f>IF(OR(B857="",C857=""),0,IF(B857="Entrada",C857,-C857))</f>
        <v/>
      </c>
      <c r="I857" s="21">
        <f>IF(A857="","",YEAR(A857)*100+MONTH(A857))</f>
        <v/>
      </c>
      <c r="J857" s="21">
        <f>IF(E857="Essencial",1,IF(E857="Dívidas",2,IF(E857="Importante",3,IF(E857="Quero",4,""))))</f>
        <v/>
      </c>
    </row>
    <row r="858">
      <c r="A858" s="19" t="n"/>
      <c r="C858" s="17" t="n"/>
      <c r="H858" s="20">
        <f>IF(OR(B858="",C858=""),0,IF(B858="Entrada",C858,-C858))</f>
        <v/>
      </c>
      <c r="I858" s="21">
        <f>IF(A858="","",YEAR(A858)*100+MONTH(A858))</f>
        <v/>
      </c>
      <c r="J858" s="21">
        <f>IF(E858="Essencial",1,IF(E858="Dívidas",2,IF(E858="Importante",3,IF(E858="Quero",4,""))))</f>
        <v/>
      </c>
    </row>
    <row r="859">
      <c r="A859" s="19" t="n"/>
      <c r="C859" s="17" t="n"/>
      <c r="H859" s="20">
        <f>IF(OR(B859="",C859=""),0,IF(B859="Entrada",C859,-C859))</f>
        <v/>
      </c>
      <c r="I859" s="21">
        <f>IF(A859="","",YEAR(A859)*100+MONTH(A859))</f>
        <v/>
      </c>
      <c r="J859" s="21">
        <f>IF(E859="Essencial",1,IF(E859="Dívidas",2,IF(E859="Importante",3,IF(E859="Quero",4,""))))</f>
        <v/>
      </c>
    </row>
    <row r="860">
      <c r="A860" s="19" t="n"/>
      <c r="C860" s="17" t="n"/>
      <c r="H860" s="20">
        <f>IF(OR(B860="",C860=""),0,IF(B860="Entrada",C860,-C860))</f>
        <v/>
      </c>
      <c r="I860" s="21">
        <f>IF(A860="","",YEAR(A860)*100+MONTH(A860))</f>
        <v/>
      </c>
      <c r="J860" s="21">
        <f>IF(E860="Essencial",1,IF(E860="Dívidas",2,IF(E860="Importante",3,IF(E860="Quero",4,""))))</f>
        <v/>
      </c>
    </row>
    <row r="861">
      <c r="A861" s="19" t="n"/>
      <c r="C861" s="17" t="n"/>
      <c r="H861" s="20">
        <f>IF(OR(B861="",C861=""),0,IF(B861="Entrada",C861,-C861))</f>
        <v/>
      </c>
      <c r="I861" s="21">
        <f>IF(A861="","",YEAR(A861)*100+MONTH(A861))</f>
        <v/>
      </c>
      <c r="J861" s="21">
        <f>IF(E861="Essencial",1,IF(E861="Dívidas",2,IF(E861="Importante",3,IF(E861="Quero",4,""))))</f>
        <v/>
      </c>
    </row>
    <row r="862">
      <c r="A862" s="19" t="n"/>
      <c r="C862" s="17" t="n"/>
      <c r="H862" s="20">
        <f>IF(OR(B862="",C862=""),0,IF(B862="Entrada",C862,-C862))</f>
        <v/>
      </c>
      <c r="I862" s="21">
        <f>IF(A862="","",YEAR(A862)*100+MONTH(A862))</f>
        <v/>
      </c>
      <c r="J862" s="21">
        <f>IF(E862="Essencial",1,IF(E862="Dívidas",2,IF(E862="Importante",3,IF(E862="Quero",4,""))))</f>
        <v/>
      </c>
    </row>
    <row r="863">
      <c r="A863" s="19" t="n"/>
      <c r="C863" s="17" t="n"/>
      <c r="H863" s="20">
        <f>IF(OR(B863="",C863=""),0,IF(B863="Entrada",C863,-C863))</f>
        <v/>
      </c>
      <c r="I863" s="21">
        <f>IF(A863="","",YEAR(A863)*100+MONTH(A863))</f>
        <v/>
      </c>
      <c r="J863" s="21">
        <f>IF(E863="Essencial",1,IF(E863="Dívidas",2,IF(E863="Importante",3,IF(E863="Quero",4,""))))</f>
        <v/>
      </c>
    </row>
    <row r="864">
      <c r="A864" s="19" t="n"/>
      <c r="C864" s="17" t="n"/>
      <c r="H864" s="20">
        <f>IF(OR(B864="",C864=""),0,IF(B864="Entrada",C864,-C864))</f>
        <v/>
      </c>
      <c r="I864" s="21">
        <f>IF(A864="","",YEAR(A864)*100+MONTH(A864))</f>
        <v/>
      </c>
      <c r="J864" s="21">
        <f>IF(E864="Essencial",1,IF(E864="Dívidas",2,IF(E864="Importante",3,IF(E864="Quero",4,""))))</f>
        <v/>
      </c>
    </row>
    <row r="865">
      <c r="A865" s="19" t="n"/>
      <c r="C865" s="17" t="n"/>
      <c r="H865" s="20">
        <f>IF(OR(B865="",C865=""),0,IF(B865="Entrada",C865,-C865))</f>
        <v/>
      </c>
      <c r="I865" s="21">
        <f>IF(A865="","",YEAR(A865)*100+MONTH(A865))</f>
        <v/>
      </c>
      <c r="J865" s="21">
        <f>IF(E865="Essencial",1,IF(E865="Dívidas",2,IF(E865="Importante",3,IF(E865="Quero",4,""))))</f>
        <v/>
      </c>
    </row>
    <row r="866">
      <c r="A866" s="19" t="n"/>
      <c r="C866" s="17" t="n"/>
      <c r="H866" s="20">
        <f>IF(OR(B866="",C866=""),0,IF(B866="Entrada",C866,-C866))</f>
        <v/>
      </c>
      <c r="I866" s="21">
        <f>IF(A866="","",YEAR(A866)*100+MONTH(A866))</f>
        <v/>
      </c>
      <c r="J866" s="21">
        <f>IF(E866="Essencial",1,IF(E866="Dívidas",2,IF(E866="Importante",3,IF(E866="Quero",4,""))))</f>
        <v/>
      </c>
    </row>
    <row r="867">
      <c r="A867" s="19" t="n"/>
      <c r="C867" s="17" t="n"/>
      <c r="H867" s="20">
        <f>IF(OR(B867="",C867=""),0,IF(B867="Entrada",C867,-C867))</f>
        <v/>
      </c>
      <c r="I867" s="21">
        <f>IF(A867="","",YEAR(A867)*100+MONTH(A867))</f>
        <v/>
      </c>
      <c r="J867" s="21">
        <f>IF(E867="Essencial",1,IF(E867="Dívidas",2,IF(E867="Importante",3,IF(E867="Quero",4,""))))</f>
        <v/>
      </c>
    </row>
    <row r="868">
      <c r="A868" s="19" t="n"/>
      <c r="C868" s="17" t="n"/>
      <c r="H868" s="20">
        <f>IF(OR(B868="",C868=""),0,IF(B868="Entrada",C868,-C868))</f>
        <v/>
      </c>
      <c r="I868" s="21">
        <f>IF(A868="","",YEAR(A868)*100+MONTH(A868))</f>
        <v/>
      </c>
      <c r="J868" s="21">
        <f>IF(E868="Essencial",1,IF(E868="Dívidas",2,IF(E868="Importante",3,IF(E868="Quero",4,""))))</f>
        <v/>
      </c>
    </row>
    <row r="869">
      <c r="A869" s="19" t="n"/>
      <c r="C869" s="17" t="n"/>
      <c r="H869" s="20">
        <f>IF(OR(B869="",C869=""),0,IF(B869="Entrada",C869,-C869))</f>
        <v/>
      </c>
      <c r="I869" s="21">
        <f>IF(A869="","",YEAR(A869)*100+MONTH(A869))</f>
        <v/>
      </c>
      <c r="J869" s="21">
        <f>IF(E869="Essencial",1,IF(E869="Dívidas",2,IF(E869="Importante",3,IF(E869="Quero",4,""))))</f>
        <v/>
      </c>
    </row>
    <row r="870">
      <c r="A870" s="19" t="n"/>
      <c r="C870" s="17" t="n"/>
      <c r="H870" s="20">
        <f>IF(OR(B870="",C870=""),0,IF(B870="Entrada",C870,-C870))</f>
        <v/>
      </c>
      <c r="I870" s="21">
        <f>IF(A870="","",YEAR(A870)*100+MONTH(A870))</f>
        <v/>
      </c>
      <c r="J870" s="21">
        <f>IF(E870="Essencial",1,IF(E870="Dívidas",2,IF(E870="Importante",3,IF(E870="Quero",4,""))))</f>
        <v/>
      </c>
    </row>
    <row r="871">
      <c r="A871" s="19" t="n"/>
      <c r="C871" s="17" t="n"/>
      <c r="H871" s="20">
        <f>IF(OR(B871="",C871=""),0,IF(B871="Entrada",C871,-C871))</f>
        <v/>
      </c>
      <c r="I871" s="21">
        <f>IF(A871="","",YEAR(A871)*100+MONTH(A871))</f>
        <v/>
      </c>
      <c r="J871" s="21">
        <f>IF(E871="Essencial",1,IF(E871="Dívidas",2,IF(E871="Importante",3,IF(E871="Quero",4,""))))</f>
        <v/>
      </c>
    </row>
    <row r="872">
      <c r="A872" s="19" t="n"/>
      <c r="C872" s="17" t="n"/>
      <c r="H872" s="20">
        <f>IF(OR(B872="",C872=""),0,IF(B872="Entrada",C872,-C872))</f>
        <v/>
      </c>
      <c r="I872" s="21">
        <f>IF(A872="","",YEAR(A872)*100+MONTH(A872))</f>
        <v/>
      </c>
      <c r="J872" s="21">
        <f>IF(E872="Essencial",1,IF(E872="Dívidas",2,IF(E872="Importante",3,IF(E872="Quero",4,""))))</f>
        <v/>
      </c>
    </row>
    <row r="873">
      <c r="A873" s="19" t="n"/>
      <c r="C873" s="17" t="n"/>
      <c r="H873" s="20">
        <f>IF(OR(B873="",C873=""),0,IF(B873="Entrada",C873,-C873))</f>
        <v/>
      </c>
      <c r="I873" s="21">
        <f>IF(A873="","",YEAR(A873)*100+MONTH(A873))</f>
        <v/>
      </c>
      <c r="J873" s="21">
        <f>IF(E873="Essencial",1,IF(E873="Dívidas",2,IF(E873="Importante",3,IF(E873="Quero",4,""))))</f>
        <v/>
      </c>
    </row>
    <row r="874">
      <c r="A874" s="19" t="n"/>
      <c r="C874" s="17" t="n"/>
      <c r="H874" s="20">
        <f>IF(OR(B874="",C874=""),0,IF(B874="Entrada",C874,-C874))</f>
        <v/>
      </c>
      <c r="I874" s="21">
        <f>IF(A874="","",YEAR(A874)*100+MONTH(A874))</f>
        <v/>
      </c>
      <c r="J874" s="21">
        <f>IF(E874="Essencial",1,IF(E874="Dívidas",2,IF(E874="Importante",3,IF(E874="Quero",4,""))))</f>
        <v/>
      </c>
    </row>
    <row r="875">
      <c r="A875" s="19" t="n"/>
      <c r="C875" s="17" t="n"/>
      <c r="H875" s="20">
        <f>IF(OR(B875="",C875=""),0,IF(B875="Entrada",C875,-C875))</f>
        <v/>
      </c>
      <c r="I875" s="21">
        <f>IF(A875="","",YEAR(A875)*100+MONTH(A875))</f>
        <v/>
      </c>
      <c r="J875" s="21">
        <f>IF(E875="Essencial",1,IF(E875="Dívidas",2,IF(E875="Importante",3,IF(E875="Quero",4,""))))</f>
        <v/>
      </c>
    </row>
    <row r="876">
      <c r="A876" s="19" t="n"/>
      <c r="C876" s="17" t="n"/>
      <c r="H876" s="20">
        <f>IF(OR(B876="",C876=""),0,IF(B876="Entrada",C876,-C876))</f>
        <v/>
      </c>
      <c r="I876" s="21">
        <f>IF(A876="","",YEAR(A876)*100+MONTH(A876))</f>
        <v/>
      </c>
      <c r="J876" s="21">
        <f>IF(E876="Essencial",1,IF(E876="Dívidas",2,IF(E876="Importante",3,IF(E876="Quero",4,""))))</f>
        <v/>
      </c>
    </row>
    <row r="877">
      <c r="A877" s="19" t="n"/>
      <c r="C877" s="17" t="n"/>
      <c r="H877" s="20">
        <f>IF(OR(B877="",C877=""),0,IF(B877="Entrada",C877,-C877))</f>
        <v/>
      </c>
      <c r="I877" s="21">
        <f>IF(A877="","",YEAR(A877)*100+MONTH(A877))</f>
        <v/>
      </c>
      <c r="J877" s="21">
        <f>IF(E877="Essencial",1,IF(E877="Dívidas",2,IF(E877="Importante",3,IF(E877="Quero",4,""))))</f>
        <v/>
      </c>
    </row>
    <row r="878">
      <c r="A878" s="19" t="n"/>
      <c r="C878" s="17" t="n"/>
      <c r="H878" s="20">
        <f>IF(OR(B878="",C878=""),0,IF(B878="Entrada",C878,-C878))</f>
        <v/>
      </c>
      <c r="I878" s="21">
        <f>IF(A878="","",YEAR(A878)*100+MONTH(A878))</f>
        <v/>
      </c>
      <c r="J878" s="21">
        <f>IF(E878="Essencial",1,IF(E878="Dívidas",2,IF(E878="Importante",3,IF(E878="Quero",4,""))))</f>
        <v/>
      </c>
    </row>
    <row r="879">
      <c r="A879" s="19" t="n"/>
      <c r="C879" s="17" t="n"/>
      <c r="H879" s="20">
        <f>IF(OR(B879="",C879=""),0,IF(B879="Entrada",C879,-C879))</f>
        <v/>
      </c>
      <c r="I879" s="21">
        <f>IF(A879="","",YEAR(A879)*100+MONTH(A879))</f>
        <v/>
      </c>
      <c r="J879" s="21">
        <f>IF(E879="Essencial",1,IF(E879="Dívidas",2,IF(E879="Importante",3,IF(E879="Quero",4,""))))</f>
        <v/>
      </c>
    </row>
    <row r="880">
      <c r="A880" s="19" t="n"/>
      <c r="C880" s="17" t="n"/>
      <c r="H880" s="20">
        <f>IF(OR(B880="",C880=""),0,IF(B880="Entrada",C880,-C880))</f>
        <v/>
      </c>
      <c r="I880" s="21">
        <f>IF(A880="","",YEAR(A880)*100+MONTH(A880))</f>
        <v/>
      </c>
      <c r="J880" s="21">
        <f>IF(E880="Essencial",1,IF(E880="Dívidas",2,IF(E880="Importante",3,IF(E880="Quero",4,""))))</f>
        <v/>
      </c>
    </row>
    <row r="881">
      <c r="A881" s="19" t="n"/>
      <c r="C881" s="17" t="n"/>
      <c r="H881" s="20">
        <f>IF(OR(B881="",C881=""),0,IF(B881="Entrada",C881,-C881))</f>
        <v/>
      </c>
      <c r="I881" s="21">
        <f>IF(A881="","",YEAR(A881)*100+MONTH(A881))</f>
        <v/>
      </c>
      <c r="J881" s="21">
        <f>IF(E881="Essencial",1,IF(E881="Dívidas",2,IF(E881="Importante",3,IF(E881="Quero",4,""))))</f>
        <v/>
      </c>
    </row>
    <row r="882">
      <c r="A882" s="19" t="n"/>
      <c r="C882" s="17" t="n"/>
      <c r="H882" s="20">
        <f>IF(OR(B882="",C882=""),0,IF(B882="Entrada",C882,-C882))</f>
        <v/>
      </c>
      <c r="I882" s="21">
        <f>IF(A882="","",YEAR(A882)*100+MONTH(A882))</f>
        <v/>
      </c>
      <c r="J882" s="21">
        <f>IF(E882="Essencial",1,IF(E882="Dívidas",2,IF(E882="Importante",3,IF(E882="Quero",4,""))))</f>
        <v/>
      </c>
    </row>
    <row r="883">
      <c r="A883" s="19" t="n"/>
      <c r="C883" s="17" t="n"/>
      <c r="H883" s="20">
        <f>IF(OR(B883="",C883=""),0,IF(B883="Entrada",C883,-C883))</f>
        <v/>
      </c>
      <c r="I883" s="21">
        <f>IF(A883="","",YEAR(A883)*100+MONTH(A883))</f>
        <v/>
      </c>
      <c r="J883" s="21">
        <f>IF(E883="Essencial",1,IF(E883="Dívidas",2,IF(E883="Importante",3,IF(E883="Quero",4,""))))</f>
        <v/>
      </c>
    </row>
    <row r="884">
      <c r="A884" s="19" t="n"/>
      <c r="C884" s="17" t="n"/>
      <c r="H884" s="20">
        <f>IF(OR(B884="",C884=""),0,IF(B884="Entrada",C884,-C884))</f>
        <v/>
      </c>
      <c r="I884" s="21">
        <f>IF(A884="","",YEAR(A884)*100+MONTH(A884))</f>
        <v/>
      </c>
      <c r="J884" s="21">
        <f>IF(E884="Essencial",1,IF(E884="Dívidas",2,IF(E884="Importante",3,IF(E884="Quero",4,""))))</f>
        <v/>
      </c>
    </row>
    <row r="885">
      <c r="A885" s="19" t="n"/>
      <c r="C885" s="17" t="n"/>
      <c r="H885" s="20">
        <f>IF(OR(B885="",C885=""),0,IF(B885="Entrada",C885,-C885))</f>
        <v/>
      </c>
      <c r="I885" s="21">
        <f>IF(A885="","",YEAR(A885)*100+MONTH(A885))</f>
        <v/>
      </c>
      <c r="J885" s="21">
        <f>IF(E885="Essencial",1,IF(E885="Dívidas",2,IF(E885="Importante",3,IF(E885="Quero",4,""))))</f>
        <v/>
      </c>
    </row>
    <row r="886">
      <c r="A886" s="19" t="n"/>
      <c r="C886" s="17" t="n"/>
      <c r="H886" s="20">
        <f>IF(OR(B886="",C886=""),0,IF(B886="Entrada",C886,-C886))</f>
        <v/>
      </c>
      <c r="I886" s="21">
        <f>IF(A886="","",YEAR(A886)*100+MONTH(A886))</f>
        <v/>
      </c>
      <c r="J886" s="21">
        <f>IF(E886="Essencial",1,IF(E886="Dívidas",2,IF(E886="Importante",3,IF(E886="Quero",4,""))))</f>
        <v/>
      </c>
    </row>
    <row r="887">
      <c r="A887" s="19" t="n"/>
      <c r="C887" s="17" t="n"/>
      <c r="H887" s="20">
        <f>IF(OR(B887="",C887=""),0,IF(B887="Entrada",C887,-C887))</f>
        <v/>
      </c>
      <c r="I887" s="21">
        <f>IF(A887="","",YEAR(A887)*100+MONTH(A887))</f>
        <v/>
      </c>
      <c r="J887" s="21">
        <f>IF(E887="Essencial",1,IF(E887="Dívidas",2,IF(E887="Importante",3,IF(E887="Quero",4,""))))</f>
        <v/>
      </c>
    </row>
    <row r="888">
      <c r="A888" s="19" t="n"/>
      <c r="C888" s="17" t="n"/>
      <c r="H888" s="20">
        <f>IF(OR(B888="",C888=""),0,IF(B888="Entrada",C888,-C888))</f>
        <v/>
      </c>
      <c r="I888" s="21">
        <f>IF(A888="","",YEAR(A888)*100+MONTH(A888))</f>
        <v/>
      </c>
      <c r="J888" s="21">
        <f>IF(E888="Essencial",1,IF(E888="Dívidas",2,IF(E888="Importante",3,IF(E888="Quero",4,""))))</f>
        <v/>
      </c>
    </row>
    <row r="889">
      <c r="A889" s="19" t="n"/>
      <c r="C889" s="17" t="n"/>
      <c r="H889" s="20">
        <f>IF(OR(B889="",C889=""),0,IF(B889="Entrada",C889,-C889))</f>
        <v/>
      </c>
      <c r="I889" s="21">
        <f>IF(A889="","",YEAR(A889)*100+MONTH(A889))</f>
        <v/>
      </c>
      <c r="J889" s="21">
        <f>IF(E889="Essencial",1,IF(E889="Dívidas",2,IF(E889="Importante",3,IF(E889="Quero",4,""))))</f>
        <v/>
      </c>
    </row>
    <row r="890">
      <c r="A890" s="19" t="n"/>
      <c r="C890" s="17" t="n"/>
      <c r="H890" s="20">
        <f>IF(OR(B890="",C890=""),0,IF(B890="Entrada",C890,-C890))</f>
        <v/>
      </c>
      <c r="I890" s="21">
        <f>IF(A890="","",YEAR(A890)*100+MONTH(A890))</f>
        <v/>
      </c>
      <c r="J890" s="21">
        <f>IF(E890="Essencial",1,IF(E890="Dívidas",2,IF(E890="Importante",3,IF(E890="Quero",4,""))))</f>
        <v/>
      </c>
    </row>
    <row r="891">
      <c r="A891" s="19" t="n"/>
      <c r="C891" s="17" t="n"/>
      <c r="H891" s="20">
        <f>IF(OR(B891="",C891=""),0,IF(B891="Entrada",C891,-C891))</f>
        <v/>
      </c>
      <c r="I891" s="21">
        <f>IF(A891="","",YEAR(A891)*100+MONTH(A891))</f>
        <v/>
      </c>
      <c r="J891" s="21">
        <f>IF(E891="Essencial",1,IF(E891="Dívidas",2,IF(E891="Importante",3,IF(E891="Quero",4,""))))</f>
        <v/>
      </c>
    </row>
    <row r="892">
      <c r="A892" s="19" t="n"/>
      <c r="C892" s="17" t="n"/>
      <c r="H892" s="20">
        <f>IF(OR(B892="",C892=""),0,IF(B892="Entrada",C892,-C892))</f>
        <v/>
      </c>
      <c r="I892" s="21">
        <f>IF(A892="","",YEAR(A892)*100+MONTH(A892))</f>
        <v/>
      </c>
      <c r="J892" s="21">
        <f>IF(E892="Essencial",1,IF(E892="Dívidas",2,IF(E892="Importante",3,IF(E892="Quero",4,""))))</f>
        <v/>
      </c>
    </row>
    <row r="893">
      <c r="A893" s="19" t="n"/>
      <c r="C893" s="17" t="n"/>
      <c r="H893" s="20">
        <f>IF(OR(B893="",C893=""),0,IF(B893="Entrada",C893,-C893))</f>
        <v/>
      </c>
      <c r="I893" s="21">
        <f>IF(A893="","",YEAR(A893)*100+MONTH(A893))</f>
        <v/>
      </c>
      <c r="J893" s="21">
        <f>IF(E893="Essencial",1,IF(E893="Dívidas",2,IF(E893="Importante",3,IF(E893="Quero",4,""))))</f>
        <v/>
      </c>
    </row>
    <row r="894">
      <c r="A894" s="19" t="n"/>
      <c r="C894" s="17" t="n"/>
      <c r="H894" s="20">
        <f>IF(OR(B894="",C894=""),0,IF(B894="Entrada",C894,-C894))</f>
        <v/>
      </c>
      <c r="I894" s="21">
        <f>IF(A894="","",YEAR(A894)*100+MONTH(A894))</f>
        <v/>
      </c>
      <c r="J894" s="21">
        <f>IF(E894="Essencial",1,IF(E894="Dívidas",2,IF(E894="Importante",3,IF(E894="Quero",4,""))))</f>
        <v/>
      </c>
    </row>
    <row r="895">
      <c r="A895" s="19" t="n"/>
      <c r="C895" s="17" t="n"/>
      <c r="H895" s="20">
        <f>IF(OR(B895="",C895=""),0,IF(B895="Entrada",C895,-C895))</f>
        <v/>
      </c>
      <c r="I895" s="21">
        <f>IF(A895="","",YEAR(A895)*100+MONTH(A895))</f>
        <v/>
      </c>
      <c r="J895" s="21">
        <f>IF(E895="Essencial",1,IF(E895="Dívidas",2,IF(E895="Importante",3,IF(E895="Quero",4,""))))</f>
        <v/>
      </c>
    </row>
    <row r="896">
      <c r="A896" s="19" t="n"/>
      <c r="C896" s="17" t="n"/>
      <c r="H896" s="20">
        <f>IF(OR(B896="",C896=""),0,IF(B896="Entrada",C896,-C896))</f>
        <v/>
      </c>
      <c r="I896" s="21">
        <f>IF(A896="","",YEAR(A896)*100+MONTH(A896))</f>
        <v/>
      </c>
      <c r="J896" s="21">
        <f>IF(E896="Essencial",1,IF(E896="Dívidas",2,IF(E896="Importante",3,IF(E896="Quero",4,""))))</f>
        <v/>
      </c>
    </row>
    <row r="897">
      <c r="A897" s="19" t="n"/>
      <c r="C897" s="17" t="n"/>
      <c r="H897" s="20">
        <f>IF(OR(B897="",C897=""),0,IF(B897="Entrada",C897,-C897))</f>
        <v/>
      </c>
      <c r="I897" s="21">
        <f>IF(A897="","",YEAR(A897)*100+MONTH(A897))</f>
        <v/>
      </c>
      <c r="J897" s="21">
        <f>IF(E897="Essencial",1,IF(E897="Dívidas",2,IF(E897="Importante",3,IF(E897="Quero",4,""))))</f>
        <v/>
      </c>
    </row>
    <row r="898">
      <c r="A898" s="19" t="n"/>
      <c r="C898" s="17" t="n"/>
      <c r="H898" s="20">
        <f>IF(OR(B898="",C898=""),0,IF(B898="Entrada",C898,-C898))</f>
        <v/>
      </c>
      <c r="I898" s="21">
        <f>IF(A898="","",YEAR(A898)*100+MONTH(A898))</f>
        <v/>
      </c>
      <c r="J898" s="21">
        <f>IF(E898="Essencial",1,IF(E898="Dívidas",2,IF(E898="Importante",3,IF(E898="Quero",4,""))))</f>
        <v/>
      </c>
    </row>
    <row r="899">
      <c r="A899" s="19" t="n"/>
      <c r="C899" s="17" t="n"/>
      <c r="H899" s="20">
        <f>IF(OR(B899="",C899=""),0,IF(B899="Entrada",C899,-C899))</f>
        <v/>
      </c>
      <c r="I899" s="21">
        <f>IF(A899="","",YEAR(A899)*100+MONTH(A899))</f>
        <v/>
      </c>
      <c r="J899" s="21">
        <f>IF(E899="Essencial",1,IF(E899="Dívidas",2,IF(E899="Importante",3,IF(E899="Quero",4,""))))</f>
        <v/>
      </c>
    </row>
    <row r="900">
      <c r="A900" s="19" t="n"/>
      <c r="C900" s="17" t="n"/>
      <c r="H900" s="20">
        <f>IF(OR(B900="",C900=""),0,IF(B900="Entrada",C900,-C900))</f>
        <v/>
      </c>
      <c r="I900" s="21">
        <f>IF(A900="","",YEAR(A900)*100+MONTH(A900))</f>
        <v/>
      </c>
      <c r="J900" s="21">
        <f>IF(E900="Essencial",1,IF(E900="Dívidas",2,IF(E900="Importante",3,IF(E900="Quero",4,""))))</f>
        <v/>
      </c>
    </row>
    <row r="901">
      <c r="A901" s="19" t="n"/>
      <c r="C901" s="17" t="n"/>
      <c r="H901" s="20">
        <f>IF(OR(B901="",C901=""),0,IF(B901="Entrada",C901,-C901))</f>
        <v/>
      </c>
      <c r="I901" s="21">
        <f>IF(A901="","",YEAR(A901)*100+MONTH(A901))</f>
        <v/>
      </c>
      <c r="J901" s="21">
        <f>IF(E901="Essencial",1,IF(E901="Dívidas",2,IF(E901="Importante",3,IF(E901="Quero",4,""))))</f>
        <v/>
      </c>
    </row>
    <row r="902">
      <c r="A902" s="19" t="n"/>
      <c r="C902" s="17" t="n"/>
      <c r="H902" s="20">
        <f>IF(OR(B902="",C902=""),0,IF(B902="Entrada",C902,-C902))</f>
        <v/>
      </c>
      <c r="I902" s="21">
        <f>IF(A902="","",YEAR(A902)*100+MONTH(A902))</f>
        <v/>
      </c>
      <c r="J902" s="21">
        <f>IF(E902="Essencial",1,IF(E902="Dívidas",2,IF(E902="Importante",3,IF(E902="Quero",4,""))))</f>
        <v/>
      </c>
    </row>
    <row r="903">
      <c r="A903" s="19" t="n"/>
      <c r="C903" s="17" t="n"/>
      <c r="H903" s="20">
        <f>IF(OR(B903="",C903=""),0,IF(B903="Entrada",C903,-C903))</f>
        <v/>
      </c>
      <c r="I903" s="21">
        <f>IF(A903="","",YEAR(A903)*100+MONTH(A903))</f>
        <v/>
      </c>
      <c r="J903" s="21">
        <f>IF(E903="Essencial",1,IF(E903="Dívidas",2,IF(E903="Importante",3,IF(E903="Quero",4,""))))</f>
        <v/>
      </c>
    </row>
    <row r="904">
      <c r="A904" s="19" t="n"/>
      <c r="C904" s="17" t="n"/>
      <c r="H904" s="20">
        <f>IF(OR(B904="",C904=""),0,IF(B904="Entrada",C904,-C904))</f>
        <v/>
      </c>
      <c r="I904" s="21">
        <f>IF(A904="","",YEAR(A904)*100+MONTH(A904))</f>
        <v/>
      </c>
      <c r="J904" s="21">
        <f>IF(E904="Essencial",1,IF(E904="Dívidas",2,IF(E904="Importante",3,IF(E904="Quero",4,""))))</f>
        <v/>
      </c>
    </row>
    <row r="905">
      <c r="A905" s="19" t="n"/>
      <c r="C905" s="17" t="n"/>
      <c r="H905" s="20">
        <f>IF(OR(B905="",C905=""),0,IF(B905="Entrada",C905,-C905))</f>
        <v/>
      </c>
      <c r="I905" s="21">
        <f>IF(A905="","",YEAR(A905)*100+MONTH(A905))</f>
        <v/>
      </c>
      <c r="J905" s="21">
        <f>IF(E905="Essencial",1,IF(E905="Dívidas",2,IF(E905="Importante",3,IF(E905="Quero",4,""))))</f>
        <v/>
      </c>
    </row>
    <row r="906">
      <c r="A906" s="19" t="n"/>
      <c r="C906" s="17" t="n"/>
      <c r="H906" s="20">
        <f>IF(OR(B906="",C906=""),0,IF(B906="Entrada",C906,-C906))</f>
        <v/>
      </c>
      <c r="I906" s="21">
        <f>IF(A906="","",YEAR(A906)*100+MONTH(A906))</f>
        <v/>
      </c>
      <c r="J906" s="21">
        <f>IF(E906="Essencial",1,IF(E906="Dívidas",2,IF(E906="Importante",3,IF(E906="Quero",4,""))))</f>
        <v/>
      </c>
    </row>
    <row r="907">
      <c r="A907" s="19" t="n"/>
      <c r="C907" s="17" t="n"/>
      <c r="H907" s="20">
        <f>IF(OR(B907="",C907=""),0,IF(B907="Entrada",C907,-C907))</f>
        <v/>
      </c>
      <c r="I907" s="21">
        <f>IF(A907="","",YEAR(A907)*100+MONTH(A907))</f>
        <v/>
      </c>
      <c r="J907" s="21">
        <f>IF(E907="Essencial",1,IF(E907="Dívidas",2,IF(E907="Importante",3,IF(E907="Quero",4,""))))</f>
        <v/>
      </c>
    </row>
    <row r="908">
      <c r="A908" s="19" t="n"/>
      <c r="C908" s="17" t="n"/>
      <c r="H908" s="20">
        <f>IF(OR(B908="",C908=""),0,IF(B908="Entrada",C908,-C908))</f>
        <v/>
      </c>
      <c r="I908" s="21">
        <f>IF(A908="","",YEAR(A908)*100+MONTH(A908))</f>
        <v/>
      </c>
      <c r="J908" s="21">
        <f>IF(E908="Essencial",1,IF(E908="Dívidas",2,IF(E908="Importante",3,IF(E908="Quero",4,""))))</f>
        <v/>
      </c>
    </row>
    <row r="909">
      <c r="A909" s="19" t="n"/>
      <c r="C909" s="17" t="n"/>
      <c r="H909" s="20">
        <f>IF(OR(B909="",C909=""),0,IF(B909="Entrada",C909,-C909))</f>
        <v/>
      </c>
      <c r="I909" s="21">
        <f>IF(A909="","",YEAR(A909)*100+MONTH(A909))</f>
        <v/>
      </c>
      <c r="J909" s="21">
        <f>IF(E909="Essencial",1,IF(E909="Dívidas",2,IF(E909="Importante",3,IF(E909="Quero",4,""))))</f>
        <v/>
      </c>
    </row>
    <row r="910">
      <c r="A910" s="19" t="n"/>
      <c r="C910" s="17" t="n"/>
      <c r="H910" s="20">
        <f>IF(OR(B910="",C910=""),0,IF(B910="Entrada",C910,-C910))</f>
        <v/>
      </c>
      <c r="I910" s="21">
        <f>IF(A910="","",YEAR(A910)*100+MONTH(A910))</f>
        <v/>
      </c>
      <c r="J910" s="21">
        <f>IF(E910="Essencial",1,IF(E910="Dívidas",2,IF(E910="Importante",3,IF(E910="Quero",4,""))))</f>
        <v/>
      </c>
    </row>
    <row r="911">
      <c r="A911" s="19" t="n"/>
      <c r="C911" s="17" t="n"/>
      <c r="H911" s="20">
        <f>IF(OR(B911="",C911=""),0,IF(B911="Entrada",C911,-C911))</f>
        <v/>
      </c>
      <c r="I911" s="21">
        <f>IF(A911="","",YEAR(A911)*100+MONTH(A911))</f>
        <v/>
      </c>
      <c r="J911" s="21">
        <f>IF(E911="Essencial",1,IF(E911="Dívidas",2,IF(E911="Importante",3,IF(E911="Quero",4,""))))</f>
        <v/>
      </c>
    </row>
    <row r="912">
      <c r="A912" s="19" t="n"/>
      <c r="C912" s="17" t="n"/>
      <c r="H912" s="20">
        <f>IF(OR(B912="",C912=""),0,IF(B912="Entrada",C912,-C912))</f>
        <v/>
      </c>
      <c r="I912" s="21">
        <f>IF(A912="","",YEAR(A912)*100+MONTH(A912))</f>
        <v/>
      </c>
      <c r="J912" s="21">
        <f>IF(E912="Essencial",1,IF(E912="Dívidas",2,IF(E912="Importante",3,IF(E912="Quero",4,""))))</f>
        <v/>
      </c>
    </row>
    <row r="913">
      <c r="A913" s="19" t="n"/>
      <c r="C913" s="17" t="n"/>
      <c r="H913" s="20">
        <f>IF(OR(B913="",C913=""),0,IF(B913="Entrada",C913,-C913))</f>
        <v/>
      </c>
      <c r="I913" s="21">
        <f>IF(A913="","",YEAR(A913)*100+MONTH(A913))</f>
        <v/>
      </c>
      <c r="J913" s="21">
        <f>IF(E913="Essencial",1,IF(E913="Dívidas",2,IF(E913="Importante",3,IF(E913="Quero",4,""))))</f>
        <v/>
      </c>
    </row>
    <row r="914">
      <c r="A914" s="19" t="n"/>
      <c r="C914" s="17" t="n"/>
      <c r="H914" s="20">
        <f>IF(OR(B914="",C914=""),0,IF(B914="Entrada",C914,-C914))</f>
        <v/>
      </c>
      <c r="I914" s="21">
        <f>IF(A914="","",YEAR(A914)*100+MONTH(A914))</f>
        <v/>
      </c>
      <c r="J914" s="21">
        <f>IF(E914="Essencial",1,IF(E914="Dívidas",2,IF(E914="Importante",3,IF(E914="Quero",4,""))))</f>
        <v/>
      </c>
    </row>
    <row r="915">
      <c r="A915" s="19" t="n"/>
      <c r="C915" s="17" t="n"/>
      <c r="H915" s="20">
        <f>IF(OR(B915="",C915=""),0,IF(B915="Entrada",C915,-C915))</f>
        <v/>
      </c>
      <c r="I915" s="21">
        <f>IF(A915="","",YEAR(A915)*100+MONTH(A915))</f>
        <v/>
      </c>
      <c r="J915" s="21">
        <f>IF(E915="Essencial",1,IF(E915="Dívidas",2,IF(E915="Importante",3,IF(E915="Quero",4,""))))</f>
        <v/>
      </c>
    </row>
    <row r="916">
      <c r="A916" s="19" t="n"/>
      <c r="C916" s="17" t="n"/>
      <c r="H916" s="20">
        <f>IF(OR(B916="",C916=""),0,IF(B916="Entrada",C916,-C916))</f>
        <v/>
      </c>
      <c r="I916" s="21">
        <f>IF(A916="","",YEAR(A916)*100+MONTH(A916))</f>
        <v/>
      </c>
      <c r="J916" s="21">
        <f>IF(E916="Essencial",1,IF(E916="Dívidas",2,IF(E916="Importante",3,IF(E916="Quero",4,""))))</f>
        <v/>
      </c>
    </row>
    <row r="917">
      <c r="A917" s="19" t="n"/>
      <c r="C917" s="17" t="n"/>
      <c r="H917" s="20">
        <f>IF(OR(B917="",C917=""),0,IF(B917="Entrada",C917,-C917))</f>
        <v/>
      </c>
      <c r="I917" s="21">
        <f>IF(A917="","",YEAR(A917)*100+MONTH(A917))</f>
        <v/>
      </c>
      <c r="J917" s="21">
        <f>IF(E917="Essencial",1,IF(E917="Dívidas",2,IF(E917="Importante",3,IF(E917="Quero",4,""))))</f>
        <v/>
      </c>
    </row>
    <row r="918">
      <c r="A918" s="19" t="n"/>
      <c r="C918" s="17" t="n"/>
      <c r="H918" s="20">
        <f>IF(OR(B918="",C918=""),0,IF(B918="Entrada",C918,-C918))</f>
        <v/>
      </c>
      <c r="I918" s="21">
        <f>IF(A918="","",YEAR(A918)*100+MONTH(A918))</f>
        <v/>
      </c>
      <c r="J918" s="21">
        <f>IF(E918="Essencial",1,IF(E918="Dívidas",2,IF(E918="Importante",3,IF(E918="Quero",4,""))))</f>
        <v/>
      </c>
    </row>
    <row r="919">
      <c r="A919" s="19" t="n"/>
      <c r="C919" s="17" t="n"/>
      <c r="H919" s="20">
        <f>IF(OR(B919="",C919=""),0,IF(B919="Entrada",C919,-C919))</f>
        <v/>
      </c>
      <c r="I919" s="21">
        <f>IF(A919="","",YEAR(A919)*100+MONTH(A919))</f>
        <v/>
      </c>
      <c r="J919" s="21">
        <f>IF(E919="Essencial",1,IF(E919="Dívidas",2,IF(E919="Importante",3,IF(E919="Quero",4,""))))</f>
        <v/>
      </c>
    </row>
    <row r="920">
      <c r="A920" s="19" t="n"/>
      <c r="C920" s="17" t="n"/>
      <c r="H920" s="20">
        <f>IF(OR(B920="",C920=""),0,IF(B920="Entrada",C920,-C920))</f>
        <v/>
      </c>
      <c r="I920" s="21">
        <f>IF(A920="","",YEAR(A920)*100+MONTH(A920))</f>
        <v/>
      </c>
      <c r="J920" s="21">
        <f>IF(E920="Essencial",1,IF(E920="Dívidas",2,IF(E920="Importante",3,IF(E920="Quero",4,""))))</f>
        <v/>
      </c>
    </row>
    <row r="921">
      <c r="A921" s="19" t="n"/>
      <c r="C921" s="17" t="n"/>
      <c r="H921" s="20">
        <f>IF(OR(B921="",C921=""),0,IF(B921="Entrada",C921,-C921))</f>
        <v/>
      </c>
      <c r="I921" s="21">
        <f>IF(A921="","",YEAR(A921)*100+MONTH(A921))</f>
        <v/>
      </c>
      <c r="J921" s="21">
        <f>IF(E921="Essencial",1,IF(E921="Dívidas",2,IF(E921="Importante",3,IF(E921="Quero",4,""))))</f>
        <v/>
      </c>
    </row>
    <row r="922">
      <c r="A922" s="19" t="n"/>
      <c r="C922" s="17" t="n"/>
      <c r="H922" s="20">
        <f>IF(OR(B922="",C922=""),0,IF(B922="Entrada",C922,-C922))</f>
        <v/>
      </c>
      <c r="I922" s="21">
        <f>IF(A922="","",YEAR(A922)*100+MONTH(A922))</f>
        <v/>
      </c>
      <c r="J922" s="21">
        <f>IF(E922="Essencial",1,IF(E922="Dívidas",2,IF(E922="Importante",3,IF(E922="Quero",4,""))))</f>
        <v/>
      </c>
    </row>
    <row r="923">
      <c r="A923" s="19" t="n"/>
      <c r="C923" s="17" t="n"/>
      <c r="H923" s="20">
        <f>IF(OR(B923="",C923=""),0,IF(B923="Entrada",C923,-C923))</f>
        <v/>
      </c>
      <c r="I923" s="21">
        <f>IF(A923="","",YEAR(A923)*100+MONTH(A923))</f>
        <v/>
      </c>
      <c r="J923" s="21">
        <f>IF(E923="Essencial",1,IF(E923="Dívidas",2,IF(E923="Importante",3,IF(E923="Quero",4,""))))</f>
        <v/>
      </c>
    </row>
    <row r="924">
      <c r="A924" s="19" t="n"/>
      <c r="C924" s="17" t="n"/>
      <c r="H924" s="20">
        <f>IF(OR(B924="",C924=""),0,IF(B924="Entrada",C924,-C924))</f>
        <v/>
      </c>
      <c r="I924" s="21">
        <f>IF(A924="","",YEAR(A924)*100+MONTH(A924))</f>
        <v/>
      </c>
      <c r="J924" s="21">
        <f>IF(E924="Essencial",1,IF(E924="Dívidas",2,IF(E924="Importante",3,IF(E924="Quero",4,""))))</f>
        <v/>
      </c>
    </row>
    <row r="925">
      <c r="A925" s="19" t="n"/>
      <c r="C925" s="17" t="n"/>
      <c r="H925" s="20">
        <f>IF(OR(B925="",C925=""),0,IF(B925="Entrada",C925,-C925))</f>
        <v/>
      </c>
      <c r="I925" s="21">
        <f>IF(A925="","",YEAR(A925)*100+MONTH(A925))</f>
        <v/>
      </c>
      <c r="J925" s="21">
        <f>IF(E925="Essencial",1,IF(E925="Dívidas",2,IF(E925="Importante",3,IF(E925="Quero",4,""))))</f>
        <v/>
      </c>
    </row>
    <row r="926">
      <c r="A926" s="19" t="n"/>
      <c r="C926" s="17" t="n"/>
      <c r="H926" s="20">
        <f>IF(OR(B926="",C926=""),0,IF(B926="Entrada",C926,-C926))</f>
        <v/>
      </c>
      <c r="I926" s="21">
        <f>IF(A926="","",YEAR(A926)*100+MONTH(A926))</f>
        <v/>
      </c>
      <c r="J926" s="21">
        <f>IF(E926="Essencial",1,IF(E926="Dívidas",2,IF(E926="Importante",3,IF(E926="Quero",4,""))))</f>
        <v/>
      </c>
    </row>
    <row r="927">
      <c r="A927" s="19" t="n"/>
      <c r="C927" s="17" t="n"/>
      <c r="H927" s="20">
        <f>IF(OR(B927="",C927=""),0,IF(B927="Entrada",C927,-C927))</f>
        <v/>
      </c>
      <c r="I927" s="21">
        <f>IF(A927="","",YEAR(A927)*100+MONTH(A927))</f>
        <v/>
      </c>
      <c r="J927" s="21">
        <f>IF(E927="Essencial",1,IF(E927="Dívidas",2,IF(E927="Importante",3,IF(E927="Quero",4,""))))</f>
        <v/>
      </c>
    </row>
    <row r="928">
      <c r="A928" s="19" t="n"/>
      <c r="C928" s="17" t="n"/>
      <c r="H928" s="20">
        <f>IF(OR(B928="",C928=""),0,IF(B928="Entrada",C928,-C928))</f>
        <v/>
      </c>
      <c r="I928" s="21">
        <f>IF(A928="","",YEAR(A928)*100+MONTH(A928))</f>
        <v/>
      </c>
      <c r="J928" s="21">
        <f>IF(E928="Essencial",1,IF(E928="Dívidas",2,IF(E928="Importante",3,IF(E928="Quero",4,""))))</f>
        <v/>
      </c>
    </row>
    <row r="929">
      <c r="A929" s="19" t="n"/>
      <c r="C929" s="17" t="n"/>
      <c r="H929" s="20">
        <f>IF(OR(B929="",C929=""),0,IF(B929="Entrada",C929,-C929))</f>
        <v/>
      </c>
      <c r="I929" s="21">
        <f>IF(A929="","",YEAR(A929)*100+MONTH(A929))</f>
        <v/>
      </c>
      <c r="J929" s="21">
        <f>IF(E929="Essencial",1,IF(E929="Dívidas",2,IF(E929="Importante",3,IF(E929="Quero",4,""))))</f>
        <v/>
      </c>
    </row>
    <row r="930">
      <c r="A930" s="19" t="n"/>
      <c r="C930" s="17" t="n"/>
      <c r="H930" s="20">
        <f>IF(OR(B930="",C930=""),0,IF(B930="Entrada",C930,-C930))</f>
        <v/>
      </c>
      <c r="I930" s="21">
        <f>IF(A930="","",YEAR(A930)*100+MONTH(A930))</f>
        <v/>
      </c>
      <c r="J930" s="21">
        <f>IF(E930="Essencial",1,IF(E930="Dívidas",2,IF(E930="Importante",3,IF(E930="Quero",4,""))))</f>
        <v/>
      </c>
    </row>
    <row r="931">
      <c r="A931" s="19" t="n"/>
      <c r="C931" s="17" t="n"/>
      <c r="H931" s="20">
        <f>IF(OR(B931="",C931=""),0,IF(B931="Entrada",C931,-C931))</f>
        <v/>
      </c>
      <c r="I931" s="21">
        <f>IF(A931="","",YEAR(A931)*100+MONTH(A931))</f>
        <v/>
      </c>
      <c r="J931" s="21">
        <f>IF(E931="Essencial",1,IF(E931="Dívidas",2,IF(E931="Importante",3,IF(E931="Quero",4,""))))</f>
        <v/>
      </c>
    </row>
    <row r="932">
      <c r="A932" s="19" t="n"/>
      <c r="C932" s="17" t="n"/>
      <c r="H932" s="20">
        <f>IF(OR(B932="",C932=""),0,IF(B932="Entrada",C932,-C932))</f>
        <v/>
      </c>
      <c r="I932" s="21">
        <f>IF(A932="","",YEAR(A932)*100+MONTH(A932))</f>
        <v/>
      </c>
      <c r="J932" s="21">
        <f>IF(E932="Essencial",1,IF(E932="Dívidas",2,IF(E932="Importante",3,IF(E932="Quero",4,""))))</f>
        <v/>
      </c>
    </row>
    <row r="933">
      <c r="A933" s="19" t="n"/>
      <c r="C933" s="17" t="n"/>
      <c r="H933" s="20">
        <f>IF(OR(B933="",C933=""),0,IF(B933="Entrada",C933,-C933))</f>
        <v/>
      </c>
      <c r="I933" s="21">
        <f>IF(A933="","",YEAR(A933)*100+MONTH(A933))</f>
        <v/>
      </c>
      <c r="J933" s="21">
        <f>IF(E933="Essencial",1,IF(E933="Dívidas",2,IF(E933="Importante",3,IF(E933="Quero",4,""))))</f>
        <v/>
      </c>
    </row>
    <row r="934">
      <c r="A934" s="19" t="n"/>
      <c r="C934" s="17" t="n"/>
      <c r="H934" s="20">
        <f>IF(OR(B934="",C934=""),0,IF(B934="Entrada",C934,-C934))</f>
        <v/>
      </c>
      <c r="I934" s="21">
        <f>IF(A934="","",YEAR(A934)*100+MONTH(A934))</f>
        <v/>
      </c>
      <c r="J934" s="21">
        <f>IF(E934="Essencial",1,IF(E934="Dívidas",2,IF(E934="Importante",3,IF(E934="Quero",4,""))))</f>
        <v/>
      </c>
    </row>
    <row r="935">
      <c r="A935" s="19" t="n"/>
      <c r="C935" s="17" t="n"/>
      <c r="H935" s="20">
        <f>IF(OR(B935="",C935=""),0,IF(B935="Entrada",C935,-C935))</f>
        <v/>
      </c>
      <c r="I935" s="21">
        <f>IF(A935="","",YEAR(A935)*100+MONTH(A935))</f>
        <v/>
      </c>
      <c r="J935" s="21">
        <f>IF(E935="Essencial",1,IF(E935="Dívidas",2,IF(E935="Importante",3,IF(E935="Quero",4,""))))</f>
        <v/>
      </c>
    </row>
    <row r="936">
      <c r="A936" s="19" t="n"/>
      <c r="C936" s="17" t="n"/>
      <c r="H936" s="20">
        <f>IF(OR(B936="",C936=""),0,IF(B936="Entrada",C936,-C936))</f>
        <v/>
      </c>
      <c r="I936" s="21">
        <f>IF(A936="","",YEAR(A936)*100+MONTH(A936))</f>
        <v/>
      </c>
      <c r="J936" s="21">
        <f>IF(E936="Essencial",1,IF(E936="Dívidas",2,IF(E936="Importante",3,IF(E936="Quero",4,""))))</f>
        <v/>
      </c>
    </row>
    <row r="937">
      <c r="A937" s="19" t="n"/>
      <c r="C937" s="17" t="n"/>
      <c r="H937" s="20">
        <f>IF(OR(B937="",C937=""),0,IF(B937="Entrada",C937,-C937))</f>
        <v/>
      </c>
      <c r="I937" s="21">
        <f>IF(A937="","",YEAR(A937)*100+MONTH(A937))</f>
        <v/>
      </c>
      <c r="J937" s="21">
        <f>IF(E937="Essencial",1,IF(E937="Dívidas",2,IF(E937="Importante",3,IF(E937="Quero",4,""))))</f>
        <v/>
      </c>
    </row>
    <row r="938">
      <c r="A938" s="19" t="n"/>
      <c r="C938" s="17" t="n"/>
      <c r="H938" s="20">
        <f>IF(OR(B938="",C938=""),0,IF(B938="Entrada",C938,-C938))</f>
        <v/>
      </c>
      <c r="I938" s="21">
        <f>IF(A938="","",YEAR(A938)*100+MONTH(A938))</f>
        <v/>
      </c>
      <c r="J938" s="21">
        <f>IF(E938="Essencial",1,IF(E938="Dívidas",2,IF(E938="Importante",3,IF(E938="Quero",4,""))))</f>
        <v/>
      </c>
    </row>
    <row r="939">
      <c r="A939" s="19" t="n"/>
      <c r="C939" s="17" t="n"/>
      <c r="H939" s="20">
        <f>IF(OR(B939="",C939=""),0,IF(B939="Entrada",C939,-C939))</f>
        <v/>
      </c>
      <c r="I939" s="21">
        <f>IF(A939="","",YEAR(A939)*100+MONTH(A939))</f>
        <v/>
      </c>
      <c r="J939" s="21">
        <f>IF(E939="Essencial",1,IF(E939="Dívidas",2,IF(E939="Importante",3,IF(E939="Quero",4,""))))</f>
        <v/>
      </c>
    </row>
    <row r="940">
      <c r="A940" s="19" t="n"/>
      <c r="C940" s="17" t="n"/>
      <c r="H940" s="20">
        <f>IF(OR(B940="",C940=""),0,IF(B940="Entrada",C940,-C940))</f>
        <v/>
      </c>
      <c r="I940" s="21">
        <f>IF(A940="","",YEAR(A940)*100+MONTH(A940))</f>
        <v/>
      </c>
      <c r="J940" s="21">
        <f>IF(E940="Essencial",1,IF(E940="Dívidas",2,IF(E940="Importante",3,IF(E940="Quero",4,""))))</f>
        <v/>
      </c>
    </row>
    <row r="941">
      <c r="A941" s="19" t="n"/>
      <c r="C941" s="17" t="n"/>
      <c r="H941" s="20">
        <f>IF(OR(B941="",C941=""),0,IF(B941="Entrada",C941,-C941))</f>
        <v/>
      </c>
      <c r="I941" s="21">
        <f>IF(A941="","",YEAR(A941)*100+MONTH(A941))</f>
        <v/>
      </c>
      <c r="J941" s="21">
        <f>IF(E941="Essencial",1,IF(E941="Dívidas",2,IF(E941="Importante",3,IF(E941="Quero",4,""))))</f>
        <v/>
      </c>
    </row>
    <row r="942">
      <c r="A942" s="19" t="n"/>
      <c r="C942" s="17" t="n"/>
      <c r="H942" s="20">
        <f>IF(OR(B942="",C942=""),0,IF(B942="Entrada",C942,-C942))</f>
        <v/>
      </c>
      <c r="I942" s="21">
        <f>IF(A942="","",YEAR(A942)*100+MONTH(A942))</f>
        <v/>
      </c>
      <c r="J942" s="21">
        <f>IF(E942="Essencial",1,IF(E942="Dívidas",2,IF(E942="Importante",3,IF(E942="Quero",4,""))))</f>
        <v/>
      </c>
    </row>
    <row r="943">
      <c r="A943" s="19" t="n"/>
      <c r="C943" s="17" t="n"/>
      <c r="H943" s="20">
        <f>IF(OR(B943="",C943=""),0,IF(B943="Entrada",C943,-C943))</f>
        <v/>
      </c>
      <c r="I943" s="21">
        <f>IF(A943="","",YEAR(A943)*100+MONTH(A943))</f>
        <v/>
      </c>
      <c r="J943" s="21">
        <f>IF(E943="Essencial",1,IF(E943="Dívidas",2,IF(E943="Importante",3,IF(E943="Quero",4,""))))</f>
        <v/>
      </c>
    </row>
    <row r="944">
      <c r="A944" s="19" t="n"/>
      <c r="C944" s="17" t="n"/>
      <c r="H944" s="20">
        <f>IF(OR(B944="",C944=""),0,IF(B944="Entrada",C944,-C944))</f>
        <v/>
      </c>
      <c r="I944" s="21">
        <f>IF(A944="","",YEAR(A944)*100+MONTH(A944))</f>
        <v/>
      </c>
      <c r="J944" s="21">
        <f>IF(E944="Essencial",1,IF(E944="Dívidas",2,IF(E944="Importante",3,IF(E944="Quero",4,""))))</f>
        <v/>
      </c>
    </row>
    <row r="945">
      <c r="A945" s="19" t="n"/>
      <c r="C945" s="17" t="n"/>
      <c r="H945" s="20">
        <f>IF(OR(B945="",C945=""),0,IF(B945="Entrada",C945,-C945))</f>
        <v/>
      </c>
      <c r="I945" s="21">
        <f>IF(A945="","",YEAR(A945)*100+MONTH(A945))</f>
        <v/>
      </c>
      <c r="J945" s="21">
        <f>IF(E945="Essencial",1,IF(E945="Dívidas",2,IF(E945="Importante",3,IF(E945="Quero",4,""))))</f>
        <v/>
      </c>
    </row>
    <row r="946">
      <c r="A946" s="19" t="n"/>
      <c r="C946" s="17" t="n"/>
      <c r="H946" s="20">
        <f>IF(OR(B946="",C946=""),0,IF(B946="Entrada",C946,-C946))</f>
        <v/>
      </c>
      <c r="I946" s="21">
        <f>IF(A946="","",YEAR(A946)*100+MONTH(A946))</f>
        <v/>
      </c>
      <c r="J946" s="21">
        <f>IF(E946="Essencial",1,IF(E946="Dívidas",2,IF(E946="Importante",3,IF(E946="Quero",4,""))))</f>
        <v/>
      </c>
    </row>
    <row r="947">
      <c r="A947" s="19" t="n"/>
      <c r="C947" s="17" t="n"/>
      <c r="H947" s="20">
        <f>IF(OR(B947="",C947=""),0,IF(B947="Entrada",C947,-C947))</f>
        <v/>
      </c>
      <c r="I947" s="21">
        <f>IF(A947="","",YEAR(A947)*100+MONTH(A947))</f>
        <v/>
      </c>
      <c r="J947" s="21">
        <f>IF(E947="Essencial",1,IF(E947="Dívidas",2,IF(E947="Importante",3,IF(E947="Quero",4,""))))</f>
        <v/>
      </c>
    </row>
    <row r="948">
      <c r="A948" s="19" t="n"/>
      <c r="C948" s="17" t="n"/>
      <c r="H948" s="20">
        <f>IF(OR(B948="",C948=""),0,IF(B948="Entrada",C948,-C948))</f>
        <v/>
      </c>
      <c r="I948" s="21">
        <f>IF(A948="","",YEAR(A948)*100+MONTH(A948))</f>
        <v/>
      </c>
      <c r="J948" s="21">
        <f>IF(E948="Essencial",1,IF(E948="Dívidas",2,IF(E948="Importante",3,IF(E948="Quero",4,""))))</f>
        <v/>
      </c>
    </row>
    <row r="949">
      <c r="A949" s="19" t="n"/>
      <c r="C949" s="17" t="n"/>
      <c r="H949" s="20">
        <f>IF(OR(B949="",C949=""),0,IF(B949="Entrada",C949,-C949))</f>
        <v/>
      </c>
      <c r="I949" s="21">
        <f>IF(A949="","",YEAR(A949)*100+MONTH(A949))</f>
        <v/>
      </c>
      <c r="J949" s="21">
        <f>IF(E949="Essencial",1,IF(E949="Dívidas",2,IF(E949="Importante",3,IF(E949="Quero",4,""))))</f>
        <v/>
      </c>
    </row>
    <row r="950">
      <c r="A950" s="19" t="n"/>
      <c r="C950" s="17" t="n"/>
      <c r="H950" s="20">
        <f>IF(OR(B950="",C950=""),0,IF(B950="Entrada",C950,-C950))</f>
        <v/>
      </c>
      <c r="I950" s="21">
        <f>IF(A950="","",YEAR(A950)*100+MONTH(A950))</f>
        <v/>
      </c>
      <c r="J950" s="21">
        <f>IF(E950="Essencial",1,IF(E950="Dívidas",2,IF(E950="Importante",3,IF(E950="Quero",4,""))))</f>
        <v/>
      </c>
    </row>
    <row r="951">
      <c r="A951" s="19" t="n"/>
      <c r="C951" s="17" t="n"/>
      <c r="H951" s="20">
        <f>IF(OR(B951="",C951=""),0,IF(B951="Entrada",C951,-C951))</f>
        <v/>
      </c>
      <c r="I951" s="21">
        <f>IF(A951="","",YEAR(A951)*100+MONTH(A951))</f>
        <v/>
      </c>
      <c r="J951" s="21">
        <f>IF(E951="Essencial",1,IF(E951="Dívidas",2,IF(E951="Importante",3,IF(E951="Quero",4,""))))</f>
        <v/>
      </c>
    </row>
    <row r="952">
      <c r="A952" s="19" t="n"/>
      <c r="C952" s="17" t="n"/>
      <c r="H952" s="20">
        <f>IF(OR(B952="",C952=""),0,IF(B952="Entrada",C952,-C952))</f>
        <v/>
      </c>
      <c r="I952" s="21">
        <f>IF(A952="","",YEAR(A952)*100+MONTH(A952))</f>
        <v/>
      </c>
      <c r="J952" s="21">
        <f>IF(E952="Essencial",1,IF(E952="Dívidas",2,IF(E952="Importante",3,IF(E952="Quero",4,""))))</f>
        <v/>
      </c>
    </row>
    <row r="953">
      <c r="A953" s="19" t="n"/>
      <c r="C953" s="17" t="n"/>
      <c r="H953" s="20">
        <f>IF(OR(B953="",C953=""),0,IF(B953="Entrada",C953,-C953))</f>
        <v/>
      </c>
      <c r="I953" s="21">
        <f>IF(A953="","",YEAR(A953)*100+MONTH(A953))</f>
        <v/>
      </c>
      <c r="J953" s="21">
        <f>IF(E953="Essencial",1,IF(E953="Dívidas",2,IF(E953="Importante",3,IF(E953="Quero",4,""))))</f>
        <v/>
      </c>
    </row>
    <row r="954">
      <c r="A954" s="19" t="n"/>
      <c r="C954" s="17" t="n"/>
      <c r="H954" s="20">
        <f>IF(OR(B954="",C954=""),0,IF(B954="Entrada",C954,-C954))</f>
        <v/>
      </c>
      <c r="I954" s="21">
        <f>IF(A954="","",YEAR(A954)*100+MONTH(A954))</f>
        <v/>
      </c>
      <c r="J954" s="21">
        <f>IF(E954="Essencial",1,IF(E954="Dívidas",2,IF(E954="Importante",3,IF(E954="Quero",4,""))))</f>
        <v/>
      </c>
    </row>
    <row r="955">
      <c r="A955" s="19" t="n"/>
      <c r="C955" s="17" t="n"/>
      <c r="H955" s="20">
        <f>IF(OR(B955="",C955=""),0,IF(B955="Entrada",C955,-C955))</f>
        <v/>
      </c>
      <c r="I955" s="21">
        <f>IF(A955="","",YEAR(A955)*100+MONTH(A955))</f>
        <v/>
      </c>
      <c r="J955" s="21">
        <f>IF(E955="Essencial",1,IF(E955="Dívidas",2,IF(E955="Importante",3,IF(E955="Quero",4,""))))</f>
        <v/>
      </c>
    </row>
    <row r="956">
      <c r="A956" s="19" t="n"/>
      <c r="C956" s="17" t="n"/>
      <c r="H956" s="20">
        <f>IF(OR(B956="",C956=""),0,IF(B956="Entrada",C956,-C956))</f>
        <v/>
      </c>
      <c r="I956" s="21">
        <f>IF(A956="","",YEAR(A956)*100+MONTH(A956))</f>
        <v/>
      </c>
      <c r="J956" s="21">
        <f>IF(E956="Essencial",1,IF(E956="Dívidas",2,IF(E956="Importante",3,IF(E956="Quero",4,""))))</f>
        <v/>
      </c>
    </row>
    <row r="957">
      <c r="A957" s="19" t="n"/>
      <c r="C957" s="17" t="n"/>
      <c r="H957" s="20">
        <f>IF(OR(B957="",C957=""),0,IF(B957="Entrada",C957,-C957))</f>
        <v/>
      </c>
      <c r="I957" s="21">
        <f>IF(A957="","",YEAR(A957)*100+MONTH(A957))</f>
        <v/>
      </c>
      <c r="J957" s="21">
        <f>IF(E957="Essencial",1,IF(E957="Dívidas",2,IF(E957="Importante",3,IF(E957="Quero",4,""))))</f>
        <v/>
      </c>
    </row>
    <row r="958">
      <c r="A958" s="19" t="n"/>
      <c r="C958" s="17" t="n"/>
      <c r="H958" s="20">
        <f>IF(OR(B958="",C958=""),0,IF(B958="Entrada",C958,-C958))</f>
        <v/>
      </c>
      <c r="I958" s="21">
        <f>IF(A958="","",YEAR(A958)*100+MONTH(A958))</f>
        <v/>
      </c>
      <c r="J958" s="21">
        <f>IF(E958="Essencial",1,IF(E958="Dívidas",2,IF(E958="Importante",3,IF(E958="Quero",4,""))))</f>
        <v/>
      </c>
    </row>
    <row r="959">
      <c r="A959" s="19" t="n"/>
      <c r="C959" s="17" t="n"/>
      <c r="H959" s="20">
        <f>IF(OR(B959="",C959=""),0,IF(B959="Entrada",C959,-C959))</f>
        <v/>
      </c>
      <c r="I959" s="21">
        <f>IF(A959="","",YEAR(A959)*100+MONTH(A959))</f>
        <v/>
      </c>
      <c r="J959" s="21">
        <f>IF(E959="Essencial",1,IF(E959="Dívidas",2,IF(E959="Importante",3,IF(E959="Quero",4,""))))</f>
        <v/>
      </c>
    </row>
    <row r="960">
      <c r="A960" s="19" t="n"/>
      <c r="C960" s="17" t="n"/>
      <c r="H960" s="20">
        <f>IF(OR(B960="",C960=""),0,IF(B960="Entrada",C960,-C960))</f>
        <v/>
      </c>
      <c r="I960" s="21">
        <f>IF(A960="","",YEAR(A960)*100+MONTH(A960))</f>
        <v/>
      </c>
      <c r="J960" s="21">
        <f>IF(E960="Essencial",1,IF(E960="Dívidas",2,IF(E960="Importante",3,IF(E960="Quero",4,""))))</f>
        <v/>
      </c>
    </row>
    <row r="961">
      <c r="A961" s="19" t="n"/>
      <c r="C961" s="17" t="n"/>
      <c r="H961" s="20">
        <f>IF(OR(B961="",C961=""),0,IF(B961="Entrada",C961,-C961))</f>
        <v/>
      </c>
      <c r="I961" s="21">
        <f>IF(A961="","",YEAR(A961)*100+MONTH(A961))</f>
        <v/>
      </c>
      <c r="J961" s="21">
        <f>IF(E961="Essencial",1,IF(E961="Dívidas",2,IF(E961="Importante",3,IF(E961="Quero",4,""))))</f>
        <v/>
      </c>
    </row>
    <row r="962">
      <c r="A962" s="19" t="n"/>
      <c r="C962" s="17" t="n"/>
      <c r="H962" s="20">
        <f>IF(OR(B962="",C962=""),0,IF(B962="Entrada",C962,-C962))</f>
        <v/>
      </c>
      <c r="I962" s="21">
        <f>IF(A962="","",YEAR(A962)*100+MONTH(A962))</f>
        <v/>
      </c>
      <c r="J962" s="21">
        <f>IF(E962="Essencial",1,IF(E962="Dívidas",2,IF(E962="Importante",3,IF(E962="Quero",4,""))))</f>
        <v/>
      </c>
    </row>
    <row r="963">
      <c r="A963" s="19" t="n"/>
      <c r="C963" s="17" t="n"/>
      <c r="H963" s="20">
        <f>IF(OR(B963="",C963=""),0,IF(B963="Entrada",C963,-C963))</f>
        <v/>
      </c>
      <c r="I963" s="21">
        <f>IF(A963="","",YEAR(A963)*100+MONTH(A963))</f>
        <v/>
      </c>
      <c r="J963" s="21">
        <f>IF(E963="Essencial",1,IF(E963="Dívidas",2,IF(E963="Importante",3,IF(E963="Quero",4,""))))</f>
        <v/>
      </c>
    </row>
    <row r="964">
      <c r="A964" s="19" t="n"/>
      <c r="C964" s="17" t="n"/>
      <c r="H964" s="20">
        <f>IF(OR(B964="",C964=""),0,IF(B964="Entrada",C964,-C964))</f>
        <v/>
      </c>
      <c r="I964" s="21">
        <f>IF(A964="","",YEAR(A964)*100+MONTH(A964))</f>
        <v/>
      </c>
      <c r="J964" s="21">
        <f>IF(E964="Essencial",1,IF(E964="Dívidas",2,IF(E964="Importante",3,IF(E964="Quero",4,""))))</f>
        <v/>
      </c>
    </row>
    <row r="965">
      <c r="A965" s="19" t="n"/>
      <c r="C965" s="17" t="n"/>
      <c r="H965" s="20">
        <f>IF(OR(B965="",C965=""),0,IF(B965="Entrada",C965,-C965))</f>
        <v/>
      </c>
      <c r="I965" s="21">
        <f>IF(A965="","",YEAR(A965)*100+MONTH(A965))</f>
        <v/>
      </c>
      <c r="J965" s="21">
        <f>IF(E965="Essencial",1,IF(E965="Dívidas",2,IF(E965="Importante",3,IF(E965="Quero",4,""))))</f>
        <v/>
      </c>
    </row>
    <row r="966">
      <c r="A966" s="19" t="n"/>
      <c r="C966" s="17" t="n"/>
      <c r="H966" s="20">
        <f>IF(OR(B966="",C966=""),0,IF(B966="Entrada",C966,-C966))</f>
        <v/>
      </c>
      <c r="I966" s="21">
        <f>IF(A966="","",YEAR(A966)*100+MONTH(A966))</f>
        <v/>
      </c>
      <c r="J966" s="21">
        <f>IF(E966="Essencial",1,IF(E966="Dívidas",2,IF(E966="Importante",3,IF(E966="Quero",4,""))))</f>
        <v/>
      </c>
    </row>
    <row r="967">
      <c r="A967" s="19" t="n"/>
      <c r="C967" s="17" t="n"/>
      <c r="H967" s="20">
        <f>IF(OR(B967="",C967=""),0,IF(B967="Entrada",C967,-C967))</f>
        <v/>
      </c>
      <c r="I967" s="21">
        <f>IF(A967="","",YEAR(A967)*100+MONTH(A967))</f>
        <v/>
      </c>
      <c r="J967" s="21">
        <f>IF(E967="Essencial",1,IF(E967="Dívidas",2,IF(E967="Importante",3,IF(E967="Quero",4,""))))</f>
        <v/>
      </c>
    </row>
    <row r="968">
      <c r="A968" s="19" t="n"/>
      <c r="C968" s="17" t="n"/>
      <c r="H968" s="20">
        <f>IF(OR(B968="",C968=""),0,IF(B968="Entrada",C968,-C968))</f>
        <v/>
      </c>
      <c r="I968" s="21">
        <f>IF(A968="","",YEAR(A968)*100+MONTH(A968))</f>
        <v/>
      </c>
      <c r="J968" s="21">
        <f>IF(E968="Essencial",1,IF(E968="Dívidas",2,IF(E968="Importante",3,IF(E968="Quero",4,""))))</f>
        <v/>
      </c>
    </row>
    <row r="969">
      <c r="A969" s="19" t="n"/>
      <c r="C969" s="17" t="n"/>
      <c r="H969" s="20">
        <f>IF(OR(B969="",C969=""),0,IF(B969="Entrada",C969,-C969))</f>
        <v/>
      </c>
      <c r="I969" s="21">
        <f>IF(A969="","",YEAR(A969)*100+MONTH(A969))</f>
        <v/>
      </c>
      <c r="J969" s="21">
        <f>IF(E969="Essencial",1,IF(E969="Dívidas",2,IF(E969="Importante",3,IF(E969="Quero",4,""))))</f>
        <v/>
      </c>
    </row>
    <row r="970">
      <c r="A970" s="19" t="n"/>
      <c r="C970" s="17" t="n"/>
      <c r="H970" s="20">
        <f>IF(OR(B970="",C970=""),0,IF(B970="Entrada",C970,-C970))</f>
        <v/>
      </c>
      <c r="I970" s="21">
        <f>IF(A970="","",YEAR(A970)*100+MONTH(A970))</f>
        <v/>
      </c>
      <c r="J970" s="21">
        <f>IF(E970="Essencial",1,IF(E970="Dívidas",2,IF(E970="Importante",3,IF(E970="Quero",4,""))))</f>
        <v/>
      </c>
    </row>
    <row r="971">
      <c r="A971" s="19" t="n"/>
      <c r="C971" s="17" t="n"/>
      <c r="H971" s="20">
        <f>IF(OR(B971="",C971=""),0,IF(B971="Entrada",C971,-C971))</f>
        <v/>
      </c>
      <c r="I971" s="21">
        <f>IF(A971="","",YEAR(A971)*100+MONTH(A971))</f>
        <v/>
      </c>
      <c r="J971" s="21">
        <f>IF(E971="Essencial",1,IF(E971="Dívidas",2,IF(E971="Importante",3,IF(E971="Quero",4,""))))</f>
        <v/>
      </c>
    </row>
    <row r="972">
      <c r="A972" s="19" t="n"/>
      <c r="C972" s="17" t="n"/>
      <c r="H972" s="20">
        <f>IF(OR(B972="",C972=""),0,IF(B972="Entrada",C972,-C972))</f>
        <v/>
      </c>
      <c r="I972" s="21">
        <f>IF(A972="","",YEAR(A972)*100+MONTH(A972))</f>
        <v/>
      </c>
      <c r="J972" s="21">
        <f>IF(E972="Essencial",1,IF(E972="Dívidas",2,IF(E972="Importante",3,IF(E972="Quero",4,""))))</f>
        <v/>
      </c>
    </row>
    <row r="973">
      <c r="A973" s="19" t="n"/>
      <c r="C973" s="17" t="n"/>
      <c r="H973" s="20">
        <f>IF(OR(B973="",C973=""),0,IF(B973="Entrada",C973,-C973))</f>
        <v/>
      </c>
      <c r="I973" s="21">
        <f>IF(A973="","",YEAR(A973)*100+MONTH(A973))</f>
        <v/>
      </c>
      <c r="J973" s="21">
        <f>IF(E973="Essencial",1,IF(E973="Dívidas",2,IF(E973="Importante",3,IF(E973="Quero",4,""))))</f>
        <v/>
      </c>
    </row>
    <row r="974">
      <c r="A974" s="19" t="n"/>
      <c r="C974" s="17" t="n"/>
      <c r="H974" s="20">
        <f>IF(OR(B974="",C974=""),0,IF(B974="Entrada",C974,-C974))</f>
        <v/>
      </c>
      <c r="I974" s="21">
        <f>IF(A974="","",YEAR(A974)*100+MONTH(A974))</f>
        <v/>
      </c>
      <c r="J974" s="21">
        <f>IF(E974="Essencial",1,IF(E974="Dívidas",2,IF(E974="Importante",3,IF(E974="Quero",4,""))))</f>
        <v/>
      </c>
    </row>
    <row r="975">
      <c r="A975" s="19" t="n"/>
      <c r="C975" s="17" t="n"/>
      <c r="H975" s="20">
        <f>IF(OR(B975="",C975=""),0,IF(B975="Entrada",C975,-C975))</f>
        <v/>
      </c>
      <c r="I975" s="21">
        <f>IF(A975="","",YEAR(A975)*100+MONTH(A975))</f>
        <v/>
      </c>
      <c r="J975" s="21">
        <f>IF(E975="Essencial",1,IF(E975="Dívidas",2,IF(E975="Importante",3,IF(E975="Quero",4,""))))</f>
        <v/>
      </c>
    </row>
    <row r="976">
      <c r="A976" s="19" t="n"/>
      <c r="C976" s="17" t="n"/>
      <c r="H976" s="20">
        <f>IF(OR(B976="",C976=""),0,IF(B976="Entrada",C976,-C976))</f>
        <v/>
      </c>
      <c r="I976" s="21">
        <f>IF(A976="","",YEAR(A976)*100+MONTH(A976))</f>
        <v/>
      </c>
      <c r="J976" s="21">
        <f>IF(E976="Essencial",1,IF(E976="Dívidas",2,IF(E976="Importante",3,IF(E976="Quero",4,""))))</f>
        <v/>
      </c>
    </row>
    <row r="977">
      <c r="A977" s="19" t="n"/>
      <c r="C977" s="17" t="n"/>
      <c r="H977" s="20">
        <f>IF(OR(B977="",C977=""),0,IF(B977="Entrada",C977,-C977))</f>
        <v/>
      </c>
      <c r="I977" s="21">
        <f>IF(A977="","",YEAR(A977)*100+MONTH(A977))</f>
        <v/>
      </c>
      <c r="J977" s="21">
        <f>IF(E977="Essencial",1,IF(E977="Dívidas",2,IF(E977="Importante",3,IF(E977="Quero",4,""))))</f>
        <v/>
      </c>
    </row>
    <row r="978">
      <c r="A978" s="19" t="n"/>
      <c r="C978" s="17" t="n"/>
      <c r="H978" s="20">
        <f>IF(OR(B978="",C978=""),0,IF(B978="Entrada",C978,-C978))</f>
        <v/>
      </c>
      <c r="I978" s="21">
        <f>IF(A978="","",YEAR(A978)*100+MONTH(A978))</f>
        <v/>
      </c>
      <c r="J978" s="21">
        <f>IF(E978="Essencial",1,IF(E978="Dívidas",2,IF(E978="Importante",3,IF(E978="Quero",4,""))))</f>
        <v/>
      </c>
    </row>
    <row r="979">
      <c r="A979" s="19" t="n"/>
      <c r="C979" s="17" t="n"/>
      <c r="H979" s="20">
        <f>IF(OR(B979="",C979=""),0,IF(B979="Entrada",C979,-C979))</f>
        <v/>
      </c>
      <c r="I979" s="21">
        <f>IF(A979="","",YEAR(A979)*100+MONTH(A979))</f>
        <v/>
      </c>
      <c r="J979" s="21">
        <f>IF(E979="Essencial",1,IF(E979="Dívidas",2,IF(E979="Importante",3,IF(E979="Quero",4,""))))</f>
        <v/>
      </c>
    </row>
    <row r="980">
      <c r="A980" s="19" t="n"/>
      <c r="C980" s="17" t="n"/>
      <c r="H980" s="20">
        <f>IF(OR(B980="",C980=""),0,IF(B980="Entrada",C980,-C980))</f>
        <v/>
      </c>
      <c r="I980" s="21">
        <f>IF(A980="","",YEAR(A980)*100+MONTH(A980))</f>
        <v/>
      </c>
      <c r="J980" s="21">
        <f>IF(E980="Essencial",1,IF(E980="Dívidas",2,IF(E980="Importante",3,IF(E980="Quero",4,""))))</f>
        <v/>
      </c>
    </row>
    <row r="981">
      <c r="A981" s="19" t="n"/>
      <c r="C981" s="17" t="n"/>
      <c r="H981" s="20">
        <f>IF(OR(B981="",C981=""),0,IF(B981="Entrada",C981,-C981))</f>
        <v/>
      </c>
      <c r="I981" s="21">
        <f>IF(A981="","",YEAR(A981)*100+MONTH(A981))</f>
        <v/>
      </c>
      <c r="J981" s="21">
        <f>IF(E981="Essencial",1,IF(E981="Dívidas",2,IF(E981="Importante",3,IF(E981="Quero",4,""))))</f>
        <v/>
      </c>
    </row>
    <row r="982">
      <c r="A982" s="19" t="n"/>
      <c r="C982" s="17" t="n"/>
      <c r="H982" s="20">
        <f>IF(OR(B982="",C982=""),0,IF(B982="Entrada",C982,-C982))</f>
        <v/>
      </c>
      <c r="I982" s="21">
        <f>IF(A982="","",YEAR(A982)*100+MONTH(A982))</f>
        <v/>
      </c>
      <c r="J982" s="21">
        <f>IF(E982="Essencial",1,IF(E982="Dívidas",2,IF(E982="Importante",3,IF(E982="Quero",4,""))))</f>
        <v/>
      </c>
    </row>
    <row r="983">
      <c r="A983" s="19" t="n"/>
      <c r="C983" s="17" t="n"/>
      <c r="H983" s="20">
        <f>IF(OR(B983="",C983=""),0,IF(B983="Entrada",C983,-C983))</f>
        <v/>
      </c>
      <c r="I983" s="21">
        <f>IF(A983="","",YEAR(A983)*100+MONTH(A983))</f>
        <v/>
      </c>
      <c r="J983" s="21">
        <f>IF(E983="Essencial",1,IF(E983="Dívidas",2,IF(E983="Importante",3,IF(E983="Quero",4,""))))</f>
        <v/>
      </c>
    </row>
    <row r="984">
      <c r="A984" s="19" t="n"/>
      <c r="C984" s="17" t="n"/>
      <c r="H984" s="20">
        <f>IF(OR(B984="",C984=""),0,IF(B984="Entrada",C984,-C984))</f>
        <v/>
      </c>
      <c r="I984" s="21">
        <f>IF(A984="","",YEAR(A984)*100+MONTH(A984))</f>
        <v/>
      </c>
      <c r="J984" s="21">
        <f>IF(E984="Essencial",1,IF(E984="Dívidas",2,IF(E984="Importante",3,IF(E984="Quero",4,""))))</f>
        <v/>
      </c>
    </row>
    <row r="985">
      <c r="A985" s="19" t="n"/>
      <c r="C985" s="17" t="n"/>
      <c r="H985" s="20">
        <f>IF(OR(B985="",C985=""),0,IF(B985="Entrada",C985,-C985))</f>
        <v/>
      </c>
      <c r="I985" s="21">
        <f>IF(A985="","",YEAR(A985)*100+MONTH(A985))</f>
        <v/>
      </c>
      <c r="J985" s="21">
        <f>IF(E985="Essencial",1,IF(E985="Dívidas",2,IF(E985="Importante",3,IF(E985="Quero",4,""))))</f>
        <v/>
      </c>
    </row>
    <row r="986">
      <c r="A986" s="19" t="n"/>
      <c r="C986" s="17" t="n"/>
      <c r="H986" s="20">
        <f>IF(OR(B986="",C986=""),0,IF(B986="Entrada",C986,-C986))</f>
        <v/>
      </c>
      <c r="I986" s="21">
        <f>IF(A986="","",YEAR(A986)*100+MONTH(A986))</f>
        <v/>
      </c>
      <c r="J986" s="21">
        <f>IF(E986="Essencial",1,IF(E986="Dívidas",2,IF(E986="Importante",3,IF(E986="Quero",4,""))))</f>
        <v/>
      </c>
    </row>
    <row r="987">
      <c r="A987" s="19" t="n"/>
      <c r="C987" s="17" t="n"/>
      <c r="H987" s="20">
        <f>IF(OR(B987="",C987=""),0,IF(B987="Entrada",C987,-C987))</f>
        <v/>
      </c>
      <c r="I987" s="21">
        <f>IF(A987="","",YEAR(A987)*100+MONTH(A987))</f>
        <v/>
      </c>
      <c r="J987" s="21">
        <f>IF(E987="Essencial",1,IF(E987="Dívidas",2,IF(E987="Importante",3,IF(E987="Quero",4,""))))</f>
        <v/>
      </c>
    </row>
    <row r="988">
      <c r="A988" s="19" t="n"/>
      <c r="C988" s="17" t="n"/>
      <c r="H988" s="20">
        <f>IF(OR(B988="",C988=""),0,IF(B988="Entrada",C988,-C988))</f>
        <v/>
      </c>
      <c r="I988" s="21">
        <f>IF(A988="","",YEAR(A988)*100+MONTH(A988))</f>
        <v/>
      </c>
      <c r="J988" s="21">
        <f>IF(E988="Essencial",1,IF(E988="Dívidas",2,IF(E988="Importante",3,IF(E988="Quero",4,""))))</f>
        <v/>
      </c>
    </row>
    <row r="989">
      <c r="A989" s="19" t="n"/>
      <c r="C989" s="17" t="n"/>
      <c r="H989" s="20">
        <f>IF(OR(B989="",C989=""),0,IF(B989="Entrada",C989,-C989))</f>
        <v/>
      </c>
      <c r="I989" s="21">
        <f>IF(A989="","",YEAR(A989)*100+MONTH(A989))</f>
        <v/>
      </c>
      <c r="J989" s="21">
        <f>IF(E989="Essencial",1,IF(E989="Dívidas",2,IF(E989="Importante",3,IF(E989="Quero",4,""))))</f>
        <v/>
      </c>
    </row>
    <row r="990">
      <c r="A990" s="19" t="n"/>
      <c r="C990" s="17" t="n"/>
      <c r="H990" s="20">
        <f>IF(OR(B990="",C990=""),0,IF(B990="Entrada",C990,-C990))</f>
        <v/>
      </c>
      <c r="I990" s="21">
        <f>IF(A990="","",YEAR(A990)*100+MONTH(A990))</f>
        <v/>
      </c>
      <c r="J990" s="21">
        <f>IF(E990="Essencial",1,IF(E990="Dívidas",2,IF(E990="Importante",3,IF(E990="Quero",4,""))))</f>
        <v/>
      </c>
    </row>
    <row r="991">
      <c r="A991" s="19" t="n"/>
      <c r="C991" s="17" t="n"/>
      <c r="H991" s="20">
        <f>IF(OR(B991="",C991=""),0,IF(B991="Entrada",C991,-C991))</f>
        <v/>
      </c>
      <c r="I991" s="21">
        <f>IF(A991="","",YEAR(A991)*100+MONTH(A991))</f>
        <v/>
      </c>
      <c r="J991" s="21">
        <f>IF(E991="Essencial",1,IF(E991="Dívidas",2,IF(E991="Importante",3,IF(E991="Quero",4,""))))</f>
        <v/>
      </c>
    </row>
    <row r="992">
      <c r="A992" s="19" t="n"/>
      <c r="C992" s="17" t="n"/>
      <c r="H992" s="20">
        <f>IF(OR(B992="",C992=""),0,IF(B992="Entrada",C992,-C992))</f>
        <v/>
      </c>
      <c r="I992" s="21">
        <f>IF(A992="","",YEAR(A992)*100+MONTH(A992))</f>
        <v/>
      </c>
      <c r="J992" s="21">
        <f>IF(E992="Essencial",1,IF(E992="Dívidas",2,IF(E992="Importante",3,IF(E992="Quero",4,""))))</f>
        <v/>
      </c>
    </row>
    <row r="993">
      <c r="A993" s="19" t="n"/>
      <c r="C993" s="17" t="n"/>
      <c r="H993" s="20">
        <f>IF(OR(B993="",C993=""),0,IF(B993="Entrada",C993,-C993))</f>
        <v/>
      </c>
      <c r="I993" s="21">
        <f>IF(A993="","",YEAR(A993)*100+MONTH(A993))</f>
        <v/>
      </c>
      <c r="J993" s="21">
        <f>IF(E993="Essencial",1,IF(E993="Dívidas",2,IF(E993="Importante",3,IF(E993="Quero",4,""))))</f>
        <v/>
      </c>
    </row>
    <row r="994">
      <c r="A994" s="19" t="n"/>
      <c r="C994" s="17" t="n"/>
      <c r="H994" s="20">
        <f>IF(OR(B994="",C994=""),0,IF(B994="Entrada",C994,-C994))</f>
        <v/>
      </c>
      <c r="I994" s="21">
        <f>IF(A994="","",YEAR(A994)*100+MONTH(A994))</f>
        <v/>
      </c>
      <c r="J994" s="21">
        <f>IF(E994="Essencial",1,IF(E994="Dívidas",2,IF(E994="Importante",3,IF(E994="Quero",4,""))))</f>
        <v/>
      </c>
    </row>
    <row r="995">
      <c r="A995" s="19" t="n"/>
      <c r="C995" s="17" t="n"/>
      <c r="H995" s="20">
        <f>IF(OR(B995="",C995=""),0,IF(B995="Entrada",C995,-C995))</f>
        <v/>
      </c>
      <c r="I995" s="21">
        <f>IF(A995="","",YEAR(A995)*100+MONTH(A995))</f>
        <v/>
      </c>
      <c r="J995" s="21">
        <f>IF(E995="Essencial",1,IF(E995="Dívidas",2,IF(E995="Importante",3,IF(E995="Quero",4,""))))</f>
        <v/>
      </c>
    </row>
    <row r="996">
      <c r="A996" s="19" t="n"/>
      <c r="C996" s="17" t="n"/>
      <c r="H996" s="20">
        <f>IF(OR(B996="",C996=""),0,IF(B996="Entrada",C996,-C996))</f>
        <v/>
      </c>
      <c r="I996" s="21">
        <f>IF(A996="","",YEAR(A996)*100+MONTH(A996))</f>
        <v/>
      </c>
      <c r="J996" s="21">
        <f>IF(E996="Essencial",1,IF(E996="Dívidas",2,IF(E996="Importante",3,IF(E996="Quero",4,""))))</f>
        <v/>
      </c>
    </row>
    <row r="997">
      <c r="A997" s="19" t="n"/>
      <c r="C997" s="17" t="n"/>
      <c r="H997" s="20">
        <f>IF(OR(B997="",C997=""),0,IF(B997="Entrada",C997,-C997))</f>
        <v/>
      </c>
      <c r="I997" s="21">
        <f>IF(A997="","",YEAR(A997)*100+MONTH(A997))</f>
        <v/>
      </c>
      <c r="J997" s="21">
        <f>IF(E997="Essencial",1,IF(E997="Dívidas",2,IF(E997="Importante",3,IF(E997="Quero",4,""))))</f>
        <v/>
      </c>
    </row>
    <row r="998">
      <c r="A998" s="19" t="n"/>
      <c r="C998" s="17" t="n"/>
      <c r="H998" s="20">
        <f>IF(OR(B998="",C998=""),0,IF(B998="Entrada",C998,-C998))</f>
        <v/>
      </c>
      <c r="I998" s="21">
        <f>IF(A998="","",YEAR(A998)*100+MONTH(A998))</f>
        <v/>
      </c>
      <c r="J998" s="21">
        <f>IF(E998="Essencial",1,IF(E998="Dívidas",2,IF(E998="Importante",3,IF(E998="Quero",4,""))))</f>
        <v/>
      </c>
    </row>
    <row r="999">
      <c r="A999" s="19" t="n"/>
      <c r="C999" s="17" t="n"/>
      <c r="H999" s="20">
        <f>IF(OR(B999="",C999=""),0,IF(B999="Entrada",C999,-C999))</f>
        <v/>
      </c>
      <c r="I999" s="21">
        <f>IF(A999="","",YEAR(A999)*100+MONTH(A999))</f>
        <v/>
      </c>
      <c r="J999" s="21">
        <f>IF(E999="Essencial",1,IF(E999="Dívidas",2,IF(E999="Importante",3,IF(E999="Quero",4,""))))</f>
        <v/>
      </c>
    </row>
    <row r="1000">
      <c r="A1000" s="19" t="n"/>
      <c r="C1000" s="17" t="n"/>
      <c r="H1000" s="20">
        <f>IF(OR(B1000="",C1000=""),0,IF(B1000="Entrada",C1000,-C1000))</f>
        <v/>
      </c>
      <c r="I1000" s="21">
        <f>IF(A1000="","",YEAR(A1000)*100+MONTH(A1000))</f>
        <v/>
      </c>
      <c r="J1000" s="21">
        <f>IF(E1000="Essencial",1,IF(E1000="Dívidas",2,IF(E1000="Importante",3,IF(E1000="Quero",4,""))))</f>
        <v/>
      </c>
    </row>
    <row r="1001">
      <c r="A1001" s="19" t="n"/>
      <c r="C1001" s="17" t="n"/>
      <c r="H1001" s="20">
        <f>IF(OR(B1001="",C1001=""),0,IF(B1001="Entrada",C1001,-C1001))</f>
        <v/>
      </c>
      <c r="I1001" s="21">
        <f>IF(A1001="","",YEAR(A1001)*100+MONTH(A1001))</f>
        <v/>
      </c>
      <c r="J1001" s="21">
        <f>IF(E1001="Essencial",1,IF(E1001="Dívidas",2,IF(E1001="Importante",3,IF(E1001="Quero",4,""))))</f>
        <v/>
      </c>
    </row>
  </sheetData>
  <conditionalFormatting sqref="A2:G1001">
    <cfRule type="expression" priority="1" dxfId="2">
      <formula>AND($F2="Vai acontecer",$A2&lt;&gt;"",$A2&lt;TODAY())</formula>
    </cfRule>
  </conditionalFormatting>
  <dataValidations count="4">
    <dataValidation sqref="B2:B1001" showDropDown="0" showInputMessage="0" showErrorMessage="1" allowBlank="1" errorTitle="Valor inválido" error="Escolha um item da lista." type="list">
      <formula1>"Entrada,Saída"</formula1>
    </dataValidation>
    <dataValidation sqref="D2:D1001" showDropDown="0" showInputMessage="0" showErrorMessage="1" allowBlank="1" errorTitle="Valor inválido" error="Escolha um item da lista." type="list">
      <formula1>=Categorias!$A$2:$A$40</formula1>
    </dataValidation>
    <dataValidation sqref="E2:E1001" showDropDown="0" showInputMessage="0" showErrorMessage="1" allowBlank="1" errorTitle="Valor inválido" error="Escolha um item da lista." type="list">
      <formula1>"Essencial,Dívidas,Importante,Quero"</formula1>
    </dataValidation>
    <dataValidation sqref="F2:F1001" showDropDown="0" showInputMessage="0" showErrorMessage="1" allowBlank="1" errorTitle="Valor inválido" error="Escolha um item da lista." type="list">
      <formula1>"Já aconteceu,Vai acontecer"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3E73"/>
    <outlinePr summaryBelow="1" summaryRight="1"/>
    <pageSetUpPr/>
  </sheetPr>
  <dimension ref="A1:J20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8" customWidth="1" min="5" max="5"/>
    <col width="14" customWidth="1" min="6" max="6"/>
    <col width="22" customWidth="1" min="7" max="7"/>
    <col width="14" customWidth="1" min="8" max="8"/>
  </cols>
  <sheetData>
    <row r="1">
      <c r="A1" s="6" t="inlineStr">
        <is>
          <t>A pagar: em que ordem?</t>
        </is>
      </c>
    </row>
    <row r="2">
      <c r="A2" s="10" t="inlineStr">
        <is>
          <t>Primeiro o essencial, depois dívidas, o importante e o que você quer. Dentro de cada grupo, o que vence antes.</t>
        </is>
      </c>
    </row>
    <row r="3">
      <c r="A3" s="7" t="inlineStr">
        <is>
          <t>Total a pagar (atrasadas e futuras)</t>
        </is>
      </c>
      <c r="C3" s="12">
        <f>-SUMIFS('Lançamentos'!$H$2:$H$1001,'Lançamentos'!$F$2:$F$1001,"Vai acontecer",'Lançamentos'!$H$2:$H$1001,"&lt;0")</f>
        <v/>
      </c>
    </row>
    <row r="4">
      <c r="A4" s="7" t="inlineStr">
        <is>
          <t>Seu saldo hoje</t>
        </is>
      </c>
      <c r="C4" s="12">
        <f>Resumo!B4</f>
        <v/>
      </c>
    </row>
    <row r="6" ht="30" customHeight="1">
      <c r="A6" s="16" t="inlineStr">
        <is>
          <t>Vencimento</t>
        </is>
      </c>
      <c r="B6" s="16" t="inlineStr">
        <is>
          <t>Descrição</t>
        </is>
      </c>
      <c r="C6" s="16" t="inlineStr">
        <is>
          <t>Valor</t>
        </is>
      </c>
      <c r="D6" s="16" t="inlineStr">
        <is>
          <t>Importância</t>
        </is>
      </c>
      <c r="E6" s="16" t="inlineStr">
        <is>
          <t>Peso</t>
        </is>
      </c>
      <c r="F6" s="16" t="inlineStr">
        <is>
          <t>Acumulado</t>
        </is>
      </c>
      <c r="G6" s="16" t="inlineStr">
        <is>
          <t>O saldo de hoje cobre?</t>
        </is>
      </c>
      <c r="H6" s="16" t="inlineStr">
        <is>
          <t>Faltaria</t>
        </is>
      </c>
      <c r="J6" s="10" t="inlineStr">
        <is>
          <t>As colunas A a E são preenchidas sozinhas a partir da aba Lançamentos (precisa do Google Planilhas).</t>
        </is>
      </c>
    </row>
    <row r="7">
      <c r="A7" s="19">
        <f>IFERROR(SORT(FILTER({'Lançamentos'!$A$2:$A$1001,'Lançamentos'!$G$2:$G$1001,'Lançamentos'!$C$2:$C$1001,'Lançamentos'!$E$2:$E$1001,'Lançamentos'!$J$2:$J$1001},'Lançamentos'!$B$2:$B$1001="Saída",'Lançamentos'!$F$2:$F$1001="Vai acontecer"),5,TRUE,1,TRUE),"Nada a pagar")</f>
        <v/>
      </c>
      <c r="C7" s="17" t="n"/>
      <c r="F7" s="17">
        <f>IF(C7="","",SUM(C$7:C7))</f>
        <v/>
      </c>
      <c r="G7">
        <f>IF(C7="","",IF(F7&lt;=$C$4,"Sim","Não"))</f>
        <v/>
      </c>
      <c r="H7" s="17">
        <f>IF(C7="","",MAX(0,F7-$C$4))</f>
        <v/>
      </c>
    </row>
    <row r="8">
      <c r="A8" s="19" t="n"/>
      <c r="C8" s="17" t="n"/>
      <c r="F8" s="17">
        <f>IF(C8="","",SUM(C$7:C8))</f>
        <v/>
      </c>
      <c r="G8">
        <f>IF(C8="","",IF(F8&lt;=$C$4,"Sim","Não"))</f>
        <v/>
      </c>
      <c r="H8" s="17">
        <f>IF(C8="","",MAX(0,F8-$C$4))</f>
        <v/>
      </c>
    </row>
    <row r="9">
      <c r="A9" s="19" t="n"/>
      <c r="C9" s="17" t="n"/>
      <c r="F9" s="17">
        <f>IF(C9="","",SUM(C$7:C9))</f>
        <v/>
      </c>
      <c r="G9">
        <f>IF(C9="","",IF(F9&lt;=$C$4,"Sim","Não"))</f>
        <v/>
      </c>
      <c r="H9" s="17">
        <f>IF(C9="","",MAX(0,F9-$C$4))</f>
        <v/>
      </c>
    </row>
    <row r="10">
      <c r="A10" s="19" t="n"/>
      <c r="C10" s="17" t="n"/>
      <c r="F10" s="17">
        <f>IF(C10="","",SUM(C$7:C10))</f>
        <v/>
      </c>
      <c r="G10">
        <f>IF(C10="","",IF(F10&lt;=$C$4,"Sim","Não"))</f>
        <v/>
      </c>
      <c r="H10" s="17">
        <f>IF(C10="","",MAX(0,F10-$C$4))</f>
        <v/>
      </c>
    </row>
    <row r="11">
      <c r="A11" s="19" t="n"/>
      <c r="C11" s="17" t="n"/>
      <c r="F11" s="17">
        <f>IF(C11="","",SUM(C$7:C11))</f>
        <v/>
      </c>
      <c r="G11">
        <f>IF(C11="","",IF(F11&lt;=$C$4,"Sim","Não"))</f>
        <v/>
      </c>
      <c r="H11" s="17">
        <f>IF(C11="","",MAX(0,F11-$C$4))</f>
        <v/>
      </c>
    </row>
    <row r="12">
      <c r="A12" s="19" t="n"/>
      <c r="C12" s="17" t="n"/>
      <c r="F12" s="17">
        <f>IF(C12="","",SUM(C$7:C12))</f>
        <v/>
      </c>
      <c r="G12">
        <f>IF(C12="","",IF(F12&lt;=$C$4,"Sim","Não"))</f>
        <v/>
      </c>
      <c r="H12" s="17">
        <f>IF(C12="","",MAX(0,F12-$C$4))</f>
        <v/>
      </c>
    </row>
    <row r="13">
      <c r="A13" s="19" t="n"/>
      <c r="C13" s="17" t="n"/>
      <c r="F13" s="17">
        <f>IF(C13="","",SUM(C$7:C13))</f>
        <v/>
      </c>
      <c r="G13">
        <f>IF(C13="","",IF(F13&lt;=$C$4,"Sim","Não"))</f>
        <v/>
      </c>
      <c r="H13" s="17">
        <f>IF(C13="","",MAX(0,F13-$C$4))</f>
        <v/>
      </c>
    </row>
    <row r="14">
      <c r="A14" s="19" t="n"/>
      <c r="C14" s="17" t="n"/>
      <c r="F14" s="17">
        <f>IF(C14="","",SUM(C$7:C14))</f>
        <v/>
      </c>
      <c r="G14">
        <f>IF(C14="","",IF(F14&lt;=$C$4,"Sim","Não"))</f>
        <v/>
      </c>
      <c r="H14" s="17">
        <f>IF(C14="","",MAX(0,F14-$C$4))</f>
        <v/>
      </c>
    </row>
    <row r="15">
      <c r="A15" s="19" t="n"/>
      <c r="C15" s="17" t="n"/>
      <c r="F15" s="17">
        <f>IF(C15="","",SUM(C$7:C15))</f>
        <v/>
      </c>
      <c r="G15">
        <f>IF(C15="","",IF(F15&lt;=$C$4,"Sim","Não"))</f>
        <v/>
      </c>
      <c r="H15" s="17">
        <f>IF(C15="","",MAX(0,F15-$C$4))</f>
        <v/>
      </c>
    </row>
    <row r="16">
      <c r="A16" s="19" t="n"/>
      <c r="C16" s="17" t="n"/>
      <c r="F16" s="17">
        <f>IF(C16="","",SUM(C$7:C16))</f>
        <v/>
      </c>
      <c r="G16">
        <f>IF(C16="","",IF(F16&lt;=$C$4,"Sim","Não"))</f>
        <v/>
      </c>
      <c r="H16" s="17">
        <f>IF(C16="","",MAX(0,F16-$C$4))</f>
        <v/>
      </c>
    </row>
    <row r="17">
      <c r="A17" s="19" t="n"/>
      <c r="C17" s="17" t="n"/>
      <c r="F17" s="17">
        <f>IF(C17="","",SUM(C$7:C17))</f>
        <v/>
      </c>
      <c r="G17">
        <f>IF(C17="","",IF(F17&lt;=$C$4,"Sim","Não"))</f>
        <v/>
      </c>
      <c r="H17" s="17">
        <f>IF(C17="","",MAX(0,F17-$C$4))</f>
        <v/>
      </c>
    </row>
    <row r="18">
      <c r="A18" s="19" t="n"/>
      <c r="C18" s="17" t="n"/>
      <c r="F18" s="17">
        <f>IF(C18="","",SUM(C$7:C18))</f>
        <v/>
      </c>
      <c r="G18">
        <f>IF(C18="","",IF(F18&lt;=$C$4,"Sim","Não"))</f>
        <v/>
      </c>
      <c r="H18" s="17">
        <f>IF(C18="","",MAX(0,F18-$C$4))</f>
        <v/>
      </c>
    </row>
    <row r="19">
      <c r="A19" s="19" t="n"/>
      <c r="C19" s="17" t="n"/>
      <c r="F19" s="17">
        <f>IF(C19="","",SUM(C$7:C19))</f>
        <v/>
      </c>
      <c r="G19">
        <f>IF(C19="","",IF(F19&lt;=$C$4,"Sim","Não"))</f>
        <v/>
      </c>
      <c r="H19" s="17">
        <f>IF(C19="","",MAX(0,F19-$C$4))</f>
        <v/>
      </c>
    </row>
    <row r="20">
      <c r="A20" s="19" t="n"/>
      <c r="C20" s="17" t="n"/>
      <c r="F20" s="17">
        <f>IF(C20="","",SUM(C$7:C20))</f>
        <v/>
      </c>
      <c r="G20">
        <f>IF(C20="","",IF(F20&lt;=$C$4,"Sim","Não"))</f>
        <v/>
      </c>
      <c r="H20" s="17">
        <f>IF(C20="","",MAX(0,F20-$C$4))</f>
        <v/>
      </c>
    </row>
    <row r="21">
      <c r="A21" s="19" t="n"/>
      <c r="C21" s="17" t="n"/>
      <c r="F21" s="17">
        <f>IF(C21="","",SUM(C$7:C21))</f>
        <v/>
      </c>
      <c r="G21">
        <f>IF(C21="","",IF(F21&lt;=$C$4,"Sim","Não"))</f>
        <v/>
      </c>
      <c r="H21" s="17">
        <f>IF(C21="","",MAX(0,F21-$C$4))</f>
        <v/>
      </c>
    </row>
    <row r="22">
      <c r="A22" s="19" t="n"/>
      <c r="C22" s="17" t="n"/>
      <c r="F22" s="17">
        <f>IF(C22="","",SUM(C$7:C22))</f>
        <v/>
      </c>
      <c r="G22">
        <f>IF(C22="","",IF(F22&lt;=$C$4,"Sim","Não"))</f>
        <v/>
      </c>
      <c r="H22" s="17">
        <f>IF(C22="","",MAX(0,F22-$C$4))</f>
        <v/>
      </c>
    </row>
    <row r="23">
      <c r="A23" s="19" t="n"/>
      <c r="C23" s="17" t="n"/>
      <c r="F23" s="17">
        <f>IF(C23="","",SUM(C$7:C23))</f>
        <v/>
      </c>
      <c r="G23">
        <f>IF(C23="","",IF(F23&lt;=$C$4,"Sim","Não"))</f>
        <v/>
      </c>
      <c r="H23" s="17">
        <f>IF(C23="","",MAX(0,F23-$C$4))</f>
        <v/>
      </c>
    </row>
    <row r="24">
      <c r="A24" s="19" t="n"/>
      <c r="C24" s="17" t="n"/>
      <c r="F24" s="17">
        <f>IF(C24="","",SUM(C$7:C24))</f>
        <v/>
      </c>
      <c r="G24">
        <f>IF(C24="","",IF(F24&lt;=$C$4,"Sim","Não"))</f>
        <v/>
      </c>
      <c r="H24" s="17">
        <f>IF(C24="","",MAX(0,F24-$C$4))</f>
        <v/>
      </c>
    </row>
    <row r="25">
      <c r="A25" s="19" t="n"/>
      <c r="C25" s="17" t="n"/>
      <c r="F25" s="17">
        <f>IF(C25="","",SUM(C$7:C25))</f>
        <v/>
      </c>
      <c r="G25">
        <f>IF(C25="","",IF(F25&lt;=$C$4,"Sim","Não"))</f>
        <v/>
      </c>
      <c r="H25" s="17">
        <f>IF(C25="","",MAX(0,F25-$C$4))</f>
        <v/>
      </c>
    </row>
    <row r="26">
      <c r="A26" s="19" t="n"/>
      <c r="C26" s="17" t="n"/>
      <c r="F26" s="17">
        <f>IF(C26="","",SUM(C$7:C26))</f>
        <v/>
      </c>
      <c r="G26">
        <f>IF(C26="","",IF(F26&lt;=$C$4,"Sim","Não"))</f>
        <v/>
      </c>
      <c r="H26" s="17">
        <f>IF(C26="","",MAX(0,F26-$C$4))</f>
        <v/>
      </c>
    </row>
    <row r="27">
      <c r="A27" s="19" t="n"/>
      <c r="C27" s="17" t="n"/>
      <c r="F27" s="17">
        <f>IF(C27="","",SUM(C$7:C27))</f>
        <v/>
      </c>
      <c r="G27">
        <f>IF(C27="","",IF(F27&lt;=$C$4,"Sim","Não"))</f>
        <v/>
      </c>
      <c r="H27" s="17">
        <f>IF(C27="","",MAX(0,F27-$C$4))</f>
        <v/>
      </c>
    </row>
    <row r="28">
      <c r="A28" s="19" t="n"/>
      <c r="C28" s="17" t="n"/>
      <c r="F28" s="17">
        <f>IF(C28="","",SUM(C$7:C28))</f>
        <v/>
      </c>
      <c r="G28">
        <f>IF(C28="","",IF(F28&lt;=$C$4,"Sim","Não"))</f>
        <v/>
      </c>
      <c r="H28" s="17">
        <f>IF(C28="","",MAX(0,F28-$C$4))</f>
        <v/>
      </c>
    </row>
    <row r="29">
      <c r="A29" s="19" t="n"/>
      <c r="C29" s="17" t="n"/>
      <c r="F29" s="17">
        <f>IF(C29="","",SUM(C$7:C29))</f>
        <v/>
      </c>
      <c r="G29">
        <f>IF(C29="","",IF(F29&lt;=$C$4,"Sim","Não"))</f>
        <v/>
      </c>
      <c r="H29" s="17">
        <f>IF(C29="","",MAX(0,F29-$C$4))</f>
        <v/>
      </c>
    </row>
    <row r="30">
      <c r="A30" s="19" t="n"/>
      <c r="C30" s="17" t="n"/>
      <c r="F30" s="17">
        <f>IF(C30="","",SUM(C$7:C30))</f>
        <v/>
      </c>
      <c r="G30">
        <f>IF(C30="","",IF(F30&lt;=$C$4,"Sim","Não"))</f>
        <v/>
      </c>
      <c r="H30" s="17">
        <f>IF(C30="","",MAX(0,F30-$C$4))</f>
        <v/>
      </c>
    </row>
    <row r="31">
      <c r="A31" s="19" t="n"/>
      <c r="C31" s="17" t="n"/>
      <c r="F31" s="17">
        <f>IF(C31="","",SUM(C$7:C31))</f>
        <v/>
      </c>
      <c r="G31">
        <f>IF(C31="","",IF(F31&lt;=$C$4,"Sim","Não"))</f>
        <v/>
      </c>
      <c r="H31" s="17">
        <f>IF(C31="","",MAX(0,F31-$C$4))</f>
        <v/>
      </c>
    </row>
    <row r="32">
      <c r="A32" s="19" t="n"/>
      <c r="C32" s="17" t="n"/>
      <c r="F32" s="17">
        <f>IF(C32="","",SUM(C$7:C32))</f>
        <v/>
      </c>
      <c r="G32">
        <f>IF(C32="","",IF(F32&lt;=$C$4,"Sim","Não"))</f>
        <v/>
      </c>
      <c r="H32" s="17">
        <f>IF(C32="","",MAX(0,F32-$C$4))</f>
        <v/>
      </c>
    </row>
    <row r="33">
      <c r="A33" s="19" t="n"/>
      <c r="C33" s="17" t="n"/>
      <c r="F33" s="17">
        <f>IF(C33="","",SUM(C$7:C33))</f>
        <v/>
      </c>
      <c r="G33">
        <f>IF(C33="","",IF(F33&lt;=$C$4,"Sim","Não"))</f>
        <v/>
      </c>
      <c r="H33" s="17">
        <f>IF(C33="","",MAX(0,F33-$C$4))</f>
        <v/>
      </c>
    </row>
    <row r="34">
      <c r="A34" s="19" t="n"/>
      <c r="C34" s="17" t="n"/>
      <c r="F34" s="17">
        <f>IF(C34="","",SUM(C$7:C34))</f>
        <v/>
      </c>
      <c r="G34">
        <f>IF(C34="","",IF(F34&lt;=$C$4,"Sim","Não"))</f>
        <v/>
      </c>
      <c r="H34" s="17">
        <f>IF(C34="","",MAX(0,F34-$C$4))</f>
        <v/>
      </c>
    </row>
    <row r="35">
      <c r="A35" s="19" t="n"/>
      <c r="C35" s="17" t="n"/>
      <c r="F35" s="17">
        <f>IF(C35="","",SUM(C$7:C35))</f>
        <v/>
      </c>
      <c r="G35">
        <f>IF(C35="","",IF(F35&lt;=$C$4,"Sim","Não"))</f>
        <v/>
      </c>
      <c r="H35" s="17">
        <f>IF(C35="","",MAX(0,F35-$C$4))</f>
        <v/>
      </c>
    </row>
    <row r="36">
      <c r="A36" s="19" t="n"/>
      <c r="C36" s="17" t="n"/>
      <c r="F36" s="17">
        <f>IF(C36="","",SUM(C$7:C36))</f>
        <v/>
      </c>
      <c r="G36">
        <f>IF(C36="","",IF(F36&lt;=$C$4,"Sim","Não"))</f>
        <v/>
      </c>
      <c r="H36" s="17">
        <f>IF(C36="","",MAX(0,F36-$C$4))</f>
        <v/>
      </c>
    </row>
    <row r="37">
      <c r="A37" s="19" t="n"/>
      <c r="C37" s="17" t="n"/>
      <c r="F37" s="17">
        <f>IF(C37="","",SUM(C$7:C37))</f>
        <v/>
      </c>
      <c r="G37">
        <f>IF(C37="","",IF(F37&lt;=$C$4,"Sim","Não"))</f>
        <v/>
      </c>
      <c r="H37" s="17">
        <f>IF(C37="","",MAX(0,F37-$C$4))</f>
        <v/>
      </c>
    </row>
    <row r="38">
      <c r="A38" s="19" t="n"/>
      <c r="C38" s="17" t="n"/>
      <c r="F38" s="17">
        <f>IF(C38="","",SUM(C$7:C38))</f>
        <v/>
      </c>
      <c r="G38">
        <f>IF(C38="","",IF(F38&lt;=$C$4,"Sim","Não"))</f>
        <v/>
      </c>
      <c r="H38" s="17">
        <f>IF(C38="","",MAX(0,F38-$C$4))</f>
        <v/>
      </c>
    </row>
    <row r="39">
      <c r="A39" s="19" t="n"/>
      <c r="C39" s="17" t="n"/>
      <c r="F39" s="17">
        <f>IF(C39="","",SUM(C$7:C39))</f>
        <v/>
      </c>
      <c r="G39">
        <f>IF(C39="","",IF(F39&lt;=$C$4,"Sim","Não"))</f>
        <v/>
      </c>
      <c r="H39" s="17">
        <f>IF(C39="","",MAX(0,F39-$C$4))</f>
        <v/>
      </c>
    </row>
    <row r="40">
      <c r="A40" s="19" t="n"/>
      <c r="C40" s="17" t="n"/>
      <c r="F40" s="17">
        <f>IF(C40="","",SUM(C$7:C40))</f>
        <v/>
      </c>
      <c r="G40">
        <f>IF(C40="","",IF(F40&lt;=$C$4,"Sim","Não"))</f>
        <v/>
      </c>
      <c r="H40" s="17">
        <f>IF(C40="","",MAX(0,F40-$C$4))</f>
        <v/>
      </c>
    </row>
    <row r="41">
      <c r="A41" s="19" t="n"/>
      <c r="C41" s="17" t="n"/>
      <c r="F41" s="17">
        <f>IF(C41="","",SUM(C$7:C41))</f>
        <v/>
      </c>
      <c r="G41">
        <f>IF(C41="","",IF(F41&lt;=$C$4,"Sim","Não"))</f>
        <v/>
      </c>
      <c r="H41" s="17">
        <f>IF(C41="","",MAX(0,F41-$C$4))</f>
        <v/>
      </c>
    </row>
    <row r="42">
      <c r="A42" s="19" t="n"/>
      <c r="C42" s="17" t="n"/>
      <c r="F42" s="17">
        <f>IF(C42="","",SUM(C$7:C42))</f>
        <v/>
      </c>
      <c r="G42">
        <f>IF(C42="","",IF(F42&lt;=$C$4,"Sim","Não"))</f>
        <v/>
      </c>
      <c r="H42" s="17">
        <f>IF(C42="","",MAX(0,F42-$C$4))</f>
        <v/>
      </c>
    </row>
    <row r="43">
      <c r="A43" s="19" t="n"/>
      <c r="C43" s="17" t="n"/>
      <c r="F43" s="17">
        <f>IF(C43="","",SUM(C$7:C43))</f>
        <v/>
      </c>
      <c r="G43">
        <f>IF(C43="","",IF(F43&lt;=$C$4,"Sim","Não"))</f>
        <v/>
      </c>
      <c r="H43" s="17">
        <f>IF(C43="","",MAX(0,F43-$C$4))</f>
        <v/>
      </c>
    </row>
    <row r="44">
      <c r="A44" s="19" t="n"/>
      <c r="C44" s="17" t="n"/>
      <c r="F44" s="17">
        <f>IF(C44="","",SUM(C$7:C44))</f>
        <v/>
      </c>
      <c r="G44">
        <f>IF(C44="","",IF(F44&lt;=$C$4,"Sim","Não"))</f>
        <v/>
      </c>
      <c r="H44" s="17">
        <f>IF(C44="","",MAX(0,F44-$C$4))</f>
        <v/>
      </c>
    </row>
    <row r="45">
      <c r="A45" s="19" t="n"/>
      <c r="C45" s="17" t="n"/>
      <c r="F45" s="17">
        <f>IF(C45="","",SUM(C$7:C45))</f>
        <v/>
      </c>
      <c r="G45">
        <f>IF(C45="","",IF(F45&lt;=$C$4,"Sim","Não"))</f>
        <v/>
      </c>
      <c r="H45" s="17">
        <f>IF(C45="","",MAX(0,F45-$C$4))</f>
        <v/>
      </c>
    </row>
    <row r="46">
      <c r="A46" s="19" t="n"/>
      <c r="C46" s="17" t="n"/>
      <c r="F46" s="17">
        <f>IF(C46="","",SUM(C$7:C46))</f>
        <v/>
      </c>
      <c r="G46">
        <f>IF(C46="","",IF(F46&lt;=$C$4,"Sim","Não"))</f>
        <v/>
      </c>
      <c r="H46" s="17">
        <f>IF(C46="","",MAX(0,F46-$C$4))</f>
        <v/>
      </c>
    </row>
    <row r="47">
      <c r="A47" s="19" t="n"/>
      <c r="C47" s="17" t="n"/>
      <c r="F47" s="17">
        <f>IF(C47="","",SUM(C$7:C47))</f>
        <v/>
      </c>
      <c r="G47">
        <f>IF(C47="","",IF(F47&lt;=$C$4,"Sim","Não"))</f>
        <v/>
      </c>
      <c r="H47" s="17">
        <f>IF(C47="","",MAX(0,F47-$C$4))</f>
        <v/>
      </c>
    </row>
    <row r="48">
      <c r="A48" s="19" t="n"/>
      <c r="C48" s="17" t="n"/>
      <c r="F48" s="17">
        <f>IF(C48="","",SUM(C$7:C48))</f>
        <v/>
      </c>
      <c r="G48">
        <f>IF(C48="","",IF(F48&lt;=$C$4,"Sim","Não"))</f>
        <v/>
      </c>
      <c r="H48" s="17">
        <f>IF(C48="","",MAX(0,F48-$C$4))</f>
        <v/>
      </c>
    </row>
    <row r="49">
      <c r="A49" s="19" t="n"/>
      <c r="C49" s="17" t="n"/>
      <c r="F49" s="17">
        <f>IF(C49="","",SUM(C$7:C49))</f>
        <v/>
      </c>
      <c r="G49">
        <f>IF(C49="","",IF(F49&lt;=$C$4,"Sim","Não"))</f>
        <v/>
      </c>
      <c r="H49" s="17">
        <f>IF(C49="","",MAX(0,F49-$C$4))</f>
        <v/>
      </c>
    </row>
    <row r="50">
      <c r="A50" s="19" t="n"/>
      <c r="C50" s="17" t="n"/>
      <c r="F50" s="17">
        <f>IF(C50="","",SUM(C$7:C50))</f>
        <v/>
      </c>
      <c r="G50">
        <f>IF(C50="","",IF(F50&lt;=$C$4,"Sim","Não"))</f>
        <v/>
      </c>
      <c r="H50" s="17">
        <f>IF(C50="","",MAX(0,F50-$C$4))</f>
        <v/>
      </c>
    </row>
    <row r="51">
      <c r="A51" s="19" t="n"/>
      <c r="C51" s="17" t="n"/>
      <c r="F51" s="17">
        <f>IF(C51="","",SUM(C$7:C51))</f>
        <v/>
      </c>
      <c r="G51">
        <f>IF(C51="","",IF(F51&lt;=$C$4,"Sim","Não"))</f>
        <v/>
      </c>
      <c r="H51" s="17">
        <f>IF(C51="","",MAX(0,F51-$C$4))</f>
        <v/>
      </c>
    </row>
    <row r="52">
      <c r="A52" s="19" t="n"/>
      <c r="C52" s="17" t="n"/>
      <c r="F52" s="17">
        <f>IF(C52="","",SUM(C$7:C52))</f>
        <v/>
      </c>
      <c r="G52">
        <f>IF(C52="","",IF(F52&lt;=$C$4,"Sim","Não"))</f>
        <v/>
      </c>
      <c r="H52" s="17">
        <f>IF(C52="","",MAX(0,F52-$C$4))</f>
        <v/>
      </c>
    </row>
    <row r="53">
      <c r="A53" s="19" t="n"/>
      <c r="C53" s="17" t="n"/>
      <c r="F53" s="17">
        <f>IF(C53="","",SUM(C$7:C53))</f>
        <v/>
      </c>
      <c r="G53">
        <f>IF(C53="","",IF(F53&lt;=$C$4,"Sim","Não"))</f>
        <v/>
      </c>
      <c r="H53" s="17">
        <f>IF(C53="","",MAX(0,F53-$C$4))</f>
        <v/>
      </c>
    </row>
    <row r="54">
      <c r="A54" s="19" t="n"/>
      <c r="C54" s="17" t="n"/>
      <c r="F54" s="17">
        <f>IF(C54="","",SUM(C$7:C54))</f>
        <v/>
      </c>
      <c r="G54">
        <f>IF(C54="","",IF(F54&lt;=$C$4,"Sim","Não"))</f>
        <v/>
      </c>
      <c r="H54" s="17">
        <f>IF(C54="","",MAX(0,F54-$C$4))</f>
        <v/>
      </c>
    </row>
    <row r="55">
      <c r="A55" s="19" t="n"/>
      <c r="C55" s="17" t="n"/>
      <c r="F55" s="17">
        <f>IF(C55="","",SUM(C$7:C55))</f>
        <v/>
      </c>
      <c r="G55">
        <f>IF(C55="","",IF(F55&lt;=$C$4,"Sim","Não"))</f>
        <v/>
      </c>
      <c r="H55" s="17">
        <f>IF(C55="","",MAX(0,F55-$C$4))</f>
        <v/>
      </c>
    </row>
    <row r="56">
      <c r="A56" s="19" t="n"/>
      <c r="C56" s="17" t="n"/>
      <c r="F56" s="17">
        <f>IF(C56="","",SUM(C$7:C56))</f>
        <v/>
      </c>
      <c r="G56">
        <f>IF(C56="","",IF(F56&lt;=$C$4,"Sim","Não"))</f>
        <v/>
      </c>
      <c r="H56" s="17">
        <f>IF(C56="","",MAX(0,F56-$C$4))</f>
        <v/>
      </c>
    </row>
    <row r="57">
      <c r="A57" s="19" t="n"/>
      <c r="C57" s="17" t="n"/>
      <c r="F57" s="17">
        <f>IF(C57="","",SUM(C$7:C57))</f>
        <v/>
      </c>
      <c r="G57">
        <f>IF(C57="","",IF(F57&lt;=$C$4,"Sim","Não"))</f>
        <v/>
      </c>
      <c r="H57" s="17">
        <f>IF(C57="","",MAX(0,F57-$C$4))</f>
        <v/>
      </c>
    </row>
    <row r="58">
      <c r="A58" s="19" t="n"/>
      <c r="C58" s="17" t="n"/>
      <c r="F58" s="17">
        <f>IF(C58="","",SUM(C$7:C58))</f>
        <v/>
      </c>
      <c r="G58">
        <f>IF(C58="","",IF(F58&lt;=$C$4,"Sim","Não"))</f>
        <v/>
      </c>
      <c r="H58" s="17">
        <f>IF(C58="","",MAX(0,F58-$C$4))</f>
        <v/>
      </c>
    </row>
    <row r="59">
      <c r="A59" s="19" t="n"/>
      <c r="C59" s="17" t="n"/>
      <c r="F59" s="17">
        <f>IF(C59="","",SUM(C$7:C59))</f>
        <v/>
      </c>
      <c r="G59">
        <f>IF(C59="","",IF(F59&lt;=$C$4,"Sim","Não"))</f>
        <v/>
      </c>
      <c r="H59" s="17">
        <f>IF(C59="","",MAX(0,F59-$C$4))</f>
        <v/>
      </c>
    </row>
    <row r="60">
      <c r="A60" s="19" t="n"/>
      <c r="C60" s="17" t="n"/>
      <c r="F60" s="17">
        <f>IF(C60="","",SUM(C$7:C60))</f>
        <v/>
      </c>
      <c r="G60">
        <f>IF(C60="","",IF(F60&lt;=$C$4,"Sim","Não"))</f>
        <v/>
      </c>
      <c r="H60" s="17">
        <f>IF(C60="","",MAX(0,F60-$C$4))</f>
        <v/>
      </c>
    </row>
    <row r="61">
      <c r="A61" s="19" t="n"/>
      <c r="C61" s="17" t="n"/>
      <c r="F61" s="17">
        <f>IF(C61="","",SUM(C$7:C61))</f>
        <v/>
      </c>
      <c r="G61">
        <f>IF(C61="","",IF(F61&lt;=$C$4,"Sim","Não"))</f>
        <v/>
      </c>
      <c r="H61" s="17">
        <f>IF(C61="","",MAX(0,F61-$C$4))</f>
        <v/>
      </c>
    </row>
    <row r="62">
      <c r="A62" s="19" t="n"/>
      <c r="C62" s="17" t="n"/>
      <c r="F62" s="17">
        <f>IF(C62="","",SUM(C$7:C62))</f>
        <v/>
      </c>
      <c r="G62">
        <f>IF(C62="","",IF(F62&lt;=$C$4,"Sim","Não"))</f>
        <v/>
      </c>
      <c r="H62" s="17">
        <f>IF(C62="","",MAX(0,F62-$C$4))</f>
        <v/>
      </c>
    </row>
    <row r="63">
      <c r="A63" s="19" t="n"/>
      <c r="C63" s="17" t="n"/>
      <c r="F63" s="17">
        <f>IF(C63="","",SUM(C$7:C63))</f>
        <v/>
      </c>
      <c r="G63">
        <f>IF(C63="","",IF(F63&lt;=$C$4,"Sim","Não"))</f>
        <v/>
      </c>
      <c r="H63" s="17">
        <f>IF(C63="","",MAX(0,F63-$C$4))</f>
        <v/>
      </c>
    </row>
    <row r="64">
      <c r="A64" s="19" t="n"/>
      <c r="C64" s="17" t="n"/>
      <c r="F64" s="17">
        <f>IF(C64="","",SUM(C$7:C64))</f>
        <v/>
      </c>
      <c r="G64">
        <f>IF(C64="","",IF(F64&lt;=$C$4,"Sim","Não"))</f>
        <v/>
      </c>
      <c r="H64" s="17">
        <f>IF(C64="","",MAX(0,F64-$C$4))</f>
        <v/>
      </c>
    </row>
    <row r="65">
      <c r="A65" s="19" t="n"/>
      <c r="C65" s="17" t="n"/>
      <c r="F65" s="17">
        <f>IF(C65="","",SUM(C$7:C65))</f>
        <v/>
      </c>
      <c r="G65">
        <f>IF(C65="","",IF(F65&lt;=$C$4,"Sim","Não"))</f>
        <v/>
      </c>
      <c r="H65" s="17">
        <f>IF(C65="","",MAX(0,F65-$C$4))</f>
        <v/>
      </c>
    </row>
    <row r="66">
      <c r="A66" s="19" t="n"/>
      <c r="C66" s="17" t="n"/>
      <c r="F66" s="17">
        <f>IF(C66="","",SUM(C$7:C66))</f>
        <v/>
      </c>
      <c r="G66">
        <f>IF(C66="","",IF(F66&lt;=$C$4,"Sim","Não"))</f>
        <v/>
      </c>
      <c r="H66" s="17">
        <f>IF(C66="","",MAX(0,F66-$C$4))</f>
        <v/>
      </c>
    </row>
    <row r="67">
      <c r="A67" s="19" t="n"/>
      <c r="C67" s="17" t="n"/>
      <c r="F67" s="17">
        <f>IF(C67="","",SUM(C$7:C67))</f>
        <v/>
      </c>
      <c r="G67">
        <f>IF(C67="","",IF(F67&lt;=$C$4,"Sim","Não"))</f>
        <v/>
      </c>
      <c r="H67" s="17">
        <f>IF(C67="","",MAX(0,F67-$C$4))</f>
        <v/>
      </c>
    </row>
    <row r="68">
      <c r="A68" s="19" t="n"/>
      <c r="C68" s="17" t="n"/>
      <c r="F68" s="17">
        <f>IF(C68="","",SUM(C$7:C68))</f>
        <v/>
      </c>
      <c r="G68">
        <f>IF(C68="","",IF(F68&lt;=$C$4,"Sim","Não"))</f>
        <v/>
      </c>
      <c r="H68" s="17">
        <f>IF(C68="","",MAX(0,F68-$C$4))</f>
        <v/>
      </c>
    </row>
    <row r="69">
      <c r="A69" s="19" t="n"/>
      <c r="C69" s="17" t="n"/>
      <c r="F69" s="17">
        <f>IF(C69="","",SUM(C$7:C69))</f>
        <v/>
      </c>
      <c r="G69">
        <f>IF(C69="","",IF(F69&lt;=$C$4,"Sim","Não"))</f>
        <v/>
      </c>
      <c r="H69" s="17">
        <f>IF(C69="","",MAX(0,F69-$C$4))</f>
        <v/>
      </c>
    </row>
    <row r="70">
      <c r="A70" s="19" t="n"/>
      <c r="C70" s="17" t="n"/>
      <c r="F70" s="17">
        <f>IF(C70="","",SUM(C$7:C70))</f>
        <v/>
      </c>
      <c r="G70">
        <f>IF(C70="","",IF(F70&lt;=$C$4,"Sim","Não"))</f>
        <v/>
      </c>
      <c r="H70" s="17">
        <f>IF(C70="","",MAX(0,F70-$C$4))</f>
        <v/>
      </c>
    </row>
    <row r="71">
      <c r="A71" s="19" t="n"/>
      <c r="C71" s="17" t="n"/>
      <c r="F71" s="17">
        <f>IF(C71="","",SUM(C$7:C71))</f>
        <v/>
      </c>
      <c r="G71">
        <f>IF(C71="","",IF(F71&lt;=$C$4,"Sim","Não"))</f>
        <v/>
      </c>
      <c r="H71" s="17">
        <f>IF(C71="","",MAX(0,F71-$C$4))</f>
        <v/>
      </c>
    </row>
    <row r="72">
      <c r="A72" s="19" t="n"/>
      <c r="C72" s="17" t="n"/>
      <c r="F72" s="17">
        <f>IF(C72="","",SUM(C$7:C72))</f>
        <v/>
      </c>
      <c r="G72">
        <f>IF(C72="","",IF(F72&lt;=$C$4,"Sim","Não"))</f>
        <v/>
      </c>
      <c r="H72" s="17">
        <f>IF(C72="","",MAX(0,F72-$C$4))</f>
        <v/>
      </c>
    </row>
    <row r="73">
      <c r="A73" s="19" t="n"/>
      <c r="C73" s="17" t="n"/>
      <c r="F73" s="17">
        <f>IF(C73="","",SUM(C$7:C73))</f>
        <v/>
      </c>
      <c r="G73">
        <f>IF(C73="","",IF(F73&lt;=$C$4,"Sim","Não"))</f>
        <v/>
      </c>
      <c r="H73" s="17">
        <f>IF(C73="","",MAX(0,F73-$C$4))</f>
        <v/>
      </c>
    </row>
    <row r="74">
      <c r="A74" s="19" t="n"/>
      <c r="C74" s="17" t="n"/>
      <c r="F74" s="17">
        <f>IF(C74="","",SUM(C$7:C74))</f>
        <v/>
      </c>
      <c r="G74">
        <f>IF(C74="","",IF(F74&lt;=$C$4,"Sim","Não"))</f>
        <v/>
      </c>
      <c r="H74" s="17">
        <f>IF(C74="","",MAX(0,F74-$C$4))</f>
        <v/>
      </c>
    </row>
    <row r="75">
      <c r="A75" s="19" t="n"/>
      <c r="C75" s="17" t="n"/>
      <c r="F75" s="17">
        <f>IF(C75="","",SUM(C$7:C75))</f>
        <v/>
      </c>
      <c r="G75">
        <f>IF(C75="","",IF(F75&lt;=$C$4,"Sim","Não"))</f>
        <v/>
      </c>
      <c r="H75" s="17">
        <f>IF(C75="","",MAX(0,F75-$C$4))</f>
        <v/>
      </c>
    </row>
    <row r="76">
      <c r="A76" s="19" t="n"/>
      <c r="C76" s="17" t="n"/>
      <c r="F76" s="17">
        <f>IF(C76="","",SUM(C$7:C76))</f>
        <v/>
      </c>
      <c r="G76">
        <f>IF(C76="","",IF(F76&lt;=$C$4,"Sim","Não"))</f>
        <v/>
      </c>
      <c r="H76" s="17">
        <f>IF(C76="","",MAX(0,F76-$C$4))</f>
        <v/>
      </c>
    </row>
    <row r="77">
      <c r="A77" s="19" t="n"/>
      <c r="C77" s="17" t="n"/>
      <c r="F77" s="17">
        <f>IF(C77="","",SUM(C$7:C77))</f>
        <v/>
      </c>
      <c r="G77">
        <f>IF(C77="","",IF(F77&lt;=$C$4,"Sim","Não"))</f>
        <v/>
      </c>
      <c r="H77" s="17">
        <f>IF(C77="","",MAX(0,F77-$C$4))</f>
        <v/>
      </c>
    </row>
    <row r="78">
      <c r="A78" s="19" t="n"/>
      <c r="C78" s="17" t="n"/>
      <c r="F78" s="17">
        <f>IF(C78="","",SUM(C$7:C78))</f>
        <v/>
      </c>
      <c r="G78">
        <f>IF(C78="","",IF(F78&lt;=$C$4,"Sim","Não"))</f>
        <v/>
      </c>
      <c r="H78" s="17">
        <f>IF(C78="","",MAX(0,F78-$C$4))</f>
        <v/>
      </c>
    </row>
    <row r="79">
      <c r="A79" s="19" t="n"/>
      <c r="C79" s="17" t="n"/>
      <c r="F79" s="17">
        <f>IF(C79="","",SUM(C$7:C79))</f>
        <v/>
      </c>
      <c r="G79">
        <f>IF(C79="","",IF(F79&lt;=$C$4,"Sim","Não"))</f>
        <v/>
      </c>
      <c r="H79" s="17">
        <f>IF(C79="","",MAX(0,F79-$C$4))</f>
        <v/>
      </c>
    </row>
    <row r="80">
      <c r="A80" s="19" t="n"/>
      <c r="C80" s="17" t="n"/>
      <c r="F80" s="17">
        <f>IF(C80="","",SUM(C$7:C80))</f>
        <v/>
      </c>
      <c r="G80">
        <f>IF(C80="","",IF(F80&lt;=$C$4,"Sim","Não"))</f>
        <v/>
      </c>
      <c r="H80" s="17">
        <f>IF(C80="","",MAX(0,F80-$C$4))</f>
        <v/>
      </c>
    </row>
    <row r="81">
      <c r="A81" s="19" t="n"/>
      <c r="C81" s="17" t="n"/>
      <c r="F81" s="17">
        <f>IF(C81="","",SUM(C$7:C81))</f>
        <v/>
      </c>
      <c r="G81">
        <f>IF(C81="","",IF(F81&lt;=$C$4,"Sim","Não"))</f>
        <v/>
      </c>
      <c r="H81" s="17">
        <f>IF(C81="","",MAX(0,F81-$C$4))</f>
        <v/>
      </c>
    </row>
    <row r="82">
      <c r="A82" s="19" t="n"/>
      <c r="C82" s="17" t="n"/>
      <c r="F82" s="17">
        <f>IF(C82="","",SUM(C$7:C82))</f>
        <v/>
      </c>
      <c r="G82">
        <f>IF(C82="","",IF(F82&lt;=$C$4,"Sim","Não"))</f>
        <v/>
      </c>
      <c r="H82" s="17">
        <f>IF(C82="","",MAX(0,F82-$C$4))</f>
        <v/>
      </c>
    </row>
    <row r="83">
      <c r="A83" s="19" t="n"/>
      <c r="C83" s="17" t="n"/>
      <c r="F83" s="17">
        <f>IF(C83="","",SUM(C$7:C83))</f>
        <v/>
      </c>
      <c r="G83">
        <f>IF(C83="","",IF(F83&lt;=$C$4,"Sim","Não"))</f>
        <v/>
      </c>
      <c r="H83" s="17">
        <f>IF(C83="","",MAX(0,F83-$C$4))</f>
        <v/>
      </c>
    </row>
    <row r="84">
      <c r="A84" s="19" t="n"/>
      <c r="C84" s="17" t="n"/>
      <c r="F84" s="17">
        <f>IF(C84="","",SUM(C$7:C84))</f>
        <v/>
      </c>
      <c r="G84">
        <f>IF(C84="","",IF(F84&lt;=$C$4,"Sim","Não"))</f>
        <v/>
      </c>
      <c r="H84" s="17">
        <f>IF(C84="","",MAX(0,F84-$C$4))</f>
        <v/>
      </c>
    </row>
    <row r="85">
      <c r="A85" s="19" t="n"/>
      <c r="C85" s="17" t="n"/>
      <c r="F85" s="17">
        <f>IF(C85="","",SUM(C$7:C85))</f>
        <v/>
      </c>
      <c r="G85">
        <f>IF(C85="","",IF(F85&lt;=$C$4,"Sim","Não"))</f>
        <v/>
      </c>
      <c r="H85" s="17">
        <f>IF(C85="","",MAX(0,F85-$C$4))</f>
        <v/>
      </c>
    </row>
    <row r="86">
      <c r="A86" s="19" t="n"/>
      <c r="C86" s="17" t="n"/>
      <c r="F86" s="17">
        <f>IF(C86="","",SUM(C$7:C86))</f>
        <v/>
      </c>
      <c r="G86">
        <f>IF(C86="","",IF(F86&lt;=$C$4,"Sim","Não"))</f>
        <v/>
      </c>
      <c r="H86" s="17">
        <f>IF(C86="","",MAX(0,F86-$C$4))</f>
        <v/>
      </c>
    </row>
    <row r="87">
      <c r="A87" s="19" t="n"/>
      <c r="C87" s="17" t="n"/>
      <c r="F87" s="17">
        <f>IF(C87="","",SUM(C$7:C87))</f>
        <v/>
      </c>
      <c r="G87">
        <f>IF(C87="","",IF(F87&lt;=$C$4,"Sim","Não"))</f>
        <v/>
      </c>
      <c r="H87" s="17">
        <f>IF(C87="","",MAX(0,F87-$C$4))</f>
        <v/>
      </c>
    </row>
    <row r="88">
      <c r="A88" s="19" t="n"/>
      <c r="C88" s="17" t="n"/>
      <c r="F88" s="17">
        <f>IF(C88="","",SUM(C$7:C88))</f>
        <v/>
      </c>
      <c r="G88">
        <f>IF(C88="","",IF(F88&lt;=$C$4,"Sim","Não"))</f>
        <v/>
      </c>
      <c r="H88" s="17">
        <f>IF(C88="","",MAX(0,F88-$C$4))</f>
        <v/>
      </c>
    </row>
    <row r="89">
      <c r="A89" s="19" t="n"/>
      <c r="C89" s="17" t="n"/>
      <c r="F89" s="17">
        <f>IF(C89="","",SUM(C$7:C89))</f>
        <v/>
      </c>
      <c r="G89">
        <f>IF(C89="","",IF(F89&lt;=$C$4,"Sim","Não"))</f>
        <v/>
      </c>
      <c r="H89" s="17">
        <f>IF(C89="","",MAX(0,F89-$C$4))</f>
        <v/>
      </c>
    </row>
    <row r="90">
      <c r="A90" s="19" t="n"/>
      <c r="C90" s="17" t="n"/>
      <c r="F90" s="17">
        <f>IF(C90="","",SUM(C$7:C90))</f>
        <v/>
      </c>
      <c r="G90">
        <f>IF(C90="","",IF(F90&lt;=$C$4,"Sim","Não"))</f>
        <v/>
      </c>
      <c r="H90" s="17">
        <f>IF(C90="","",MAX(0,F90-$C$4))</f>
        <v/>
      </c>
    </row>
    <row r="91">
      <c r="A91" s="19" t="n"/>
      <c r="C91" s="17" t="n"/>
      <c r="F91" s="17">
        <f>IF(C91="","",SUM(C$7:C91))</f>
        <v/>
      </c>
      <c r="G91">
        <f>IF(C91="","",IF(F91&lt;=$C$4,"Sim","Não"))</f>
        <v/>
      </c>
      <c r="H91" s="17">
        <f>IF(C91="","",MAX(0,F91-$C$4))</f>
        <v/>
      </c>
    </row>
    <row r="92">
      <c r="A92" s="19" t="n"/>
      <c r="C92" s="17" t="n"/>
      <c r="F92" s="17">
        <f>IF(C92="","",SUM(C$7:C92))</f>
        <v/>
      </c>
      <c r="G92">
        <f>IF(C92="","",IF(F92&lt;=$C$4,"Sim","Não"))</f>
        <v/>
      </c>
      <c r="H92" s="17">
        <f>IF(C92="","",MAX(0,F92-$C$4))</f>
        <v/>
      </c>
    </row>
    <row r="93">
      <c r="A93" s="19" t="n"/>
      <c r="C93" s="17" t="n"/>
      <c r="F93" s="17">
        <f>IF(C93="","",SUM(C$7:C93))</f>
        <v/>
      </c>
      <c r="G93">
        <f>IF(C93="","",IF(F93&lt;=$C$4,"Sim","Não"))</f>
        <v/>
      </c>
      <c r="H93" s="17">
        <f>IF(C93="","",MAX(0,F93-$C$4))</f>
        <v/>
      </c>
    </row>
    <row r="94">
      <c r="A94" s="19" t="n"/>
      <c r="C94" s="17" t="n"/>
      <c r="F94" s="17">
        <f>IF(C94="","",SUM(C$7:C94))</f>
        <v/>
      </c>
      <c r="G94">
        <f>IF(C94="","",IF(F94&lt;=$C$4,"Sim","Não"))</f>
        <v/>
      </c>
      <c r="H94" s="17">
        <f>IF(C94="","",MAX(0,F94-$C$4))</f>
        <v/>
      </c>
    </row>
    <row r="95">
      <c r="A95" s="19" t="n"/>
      <c r="C95" s="17" t="n"/>
      <c r="F95" s="17">
        <f>IF(C95="","",SUM(C$7:C95))</f>
        <v/>
      </c>
      <c r="G95">
        <f>IF(C95="","",IF(F95&lt;=$C$4,"Sim","Não"))</f>
        <v/>
      </c>
      <c r="H95" s="17">
        <f>IF(C95="","",MAX(0,F95-$C$4))</f>
        <v/>
      </c>
    </row>
    <row r="96">
      <c r="A96" s="19" t="n"/>
      <c r="C96" s="17" t="n"/>
      <c r="F96" s="17">
        <f>IF(C96="","",SUM(C$7:C96))</f>
        <v/>
      </c>
      <c r="G96">
        <f>IF(C96="","",IF(F96&lt;=$C$4,"Sim","Não"))</f>
        <v/>
      </c>
      <c r="H96" s="17">
        <f>IF(C96="","",MAX(0,F96-$C$4))</f>
        <v/>
      </c>
    </row>
    <row r="97">
      <c r="A97" s="19" t="n"/>
      <c r="C97" s="17" t="n"/>
      <c r="F97" s="17">
        <f>IF(C97="","",SUM(C$7:C97))</f>
        <v/>
      </c>
      <c r="G97">
        <f>IF(C97="","",IF(F97&lt;=$C$4,"Sim","Não"))</f>
        <v/>
      </c>
      <c r="H97" s="17">
        <f>IF(C97="","",MAX(0,F97-$C$4))</f>
        <v/>
      </c>
    </row>
    <row r="98">
      <c r="A98" s="19" t="n"/>
      <c r="C98" s="17" t="n"/>
      <c r="F98" s="17">
        <f>IF(C98="","",SUM(C$7:C98))</f>
        <v/>
      </c>
      <c r="G98">
        <f>IF(C98="","",IF(F98&lt;=$C$4,"Sim","Não"))</f>
        <v/>
      </c>
      <c r="H98" s="17">
        <f>IF(C98="","",MAX(0,F98-$C$4))</f>
        <v/>
      </c>
    </row>
    <row r="99">
      <c r="A99" s="19" t="n"/>
      <c r="C99" s="17" t="n"/>
      <c r="F99" s="17">
        <f>IF(C99="","",SUM(C$7:C99))</f>
        <v/>
      </c>
      <c r="G99">
        <f>IF(C99="","",IF(F99&lt;=$C$4,"Sim","Não"))</f>
        <v/>
      </c>
      <c r="H99" s="17">
        <f>IF(C99="","",MAX(0,F99-$C$4))</f>
        <v/>
      </c>
    </row>
    <row r="100">
      <c r="A100" s="19" t="n"/>
      <c r="C100" s="17" t="n"/>
      <c r="F100" s="17">
        <f>IF(C100="","",SUM(C$7:C100))</f>
        <v/>
      </c>
      <c r="G100">
        <f>IF(C100="","",IF(F100&lt;=$C$4,"Sim","Não"))</f>
        <v/>
      </c>
      <c r="H100" s="17">
        <f>IF(C100="","",MAX(0,F100-$C$4))</f>
        <v/>
      </c>
    </row>
    <row r="101">
      <c r="A101" s="19" t="n"/>
      <c r="C101" s="17" t="n"/>
      <c r="F101" s="17">
        <f>IF(C101="","",SUM(C$7:C101))</f>
        <v/>
      </c>
      <c r="G101">
        <f>IF(C101="","",IF(F101&lt;=$C$4,"Sim","Não"))</f>
        <v/>
      </c>
      <c r="H101" s="17">
        <f>IF(C101="","",MAX(0,F101-$C$4))</f>
        <v/>
      </c>
    </row>
    <row r="102">
      <c r="A102" s="19" t="n"/>
      <c r="C102" s="17" t="n"/>
      <c r="F102" s="17">
        <f>IF(C102="","",SUM(C$7:C102))</f>
        <v/>
      </c>
      <c r="G102">
        <f>IF(C102="","",IF(F102&lt;=$C$4,"Sim","Não"))</f>
        <v/>
      </c>
      <c r="H102" s="17">
        <f>IF(C102="","",MAX(0,F102-$C$4))</f>
        <v/>
      </c>
    </row>
    <row r="103">
      <c r="A103" s="19" t="n"/>
      <c r="C103" s="17" t="n"/>
      <c r="F103" s="17">
        <f>IF(C103="","",SUM(C$7:C103))</f>
        <v/>
      </c>
      <c r="G103">
        <f>IF(C103="","",IF(F103&lt;=$C$4,"Sim","Não"))</f>
        <v/>
      </c>
      <c r="H103" s="17">
        <f>IF(C103="","",MAX(0,F103-$C$4))</f>
        <v/>
      </c>
    </row>
    <row r="104">
      <c r="A104" s="19" t="n"/>
      <c r="C104" s="17" t="n"/>
      <c r="F104" s="17">
        <f>IF(C104="","",SUM(C$7:C104))</f>
        <v/>
      </c>
      <c r="G104">
        <f>IF(C104="","",IF(F104&lt;=$C$4,"Sim","Não"))</f>
        <v/>
      </c>
      <c r="H104" s="17">
        <f>IF(C104="","",MAX(0,F104-$C$4))</f>
        <v/>
      </c>
    </row>
    <row r="105">
      <c r="A105" s="19" t="n"/>
      <c r="C105" s="17" t="n"/>
      <c r="F105" s="17">
        <f>IF(C105="","",SUM(C$7:C105))</f>
        <v/>
      </c>
      <c r="G105">
        <f>IF(C105="","",IF(F105&lt;=$C$4,"Sim","Não"))</f>
        <v/>
      </c>
      <c r="H105" s="17">
        <f>IF(C105="","",MAX(0,F105-$C$4))</f>
        <v/>
      </c>
    </row>
    <row r="106">
      <c r="A106" s="19" t="n"/>
      <c r="C106" s="17" t="n"/>
      <c r="F106" s="17">
        <f>IF(C106="","",SUM(C$7:C106))</f>
        <v/>
      </c>
      <c r="G106">
        <f>IF(C106="","",IF(F106&lt;=$C$4,"Sim","Não"))</f>
        <v/>
      </c>
      <c r="H106" s="17">
        <f>IF(C106="","",MAX(0,F106-$C$4))</f>
        <v/>
      </c>
    </row>
    <row r="107">
      <c r="A107" s="19" t="n"/>
      <c r="C107" s="17" t="n"/>
      <c r="F107" s="17">
        <f>IF(C107="","",SUM(C$7:C107))</f>
        <v/>
      </c>
      <c r="G107">
        <f>IF(C107="","",IF(F107&lt;=$C$4,"Sim","Não"))</f>
        <v/>
      </c>
      <c r="H107" s="17">
        <f>IF(C107="","",MAX(0,F107-$C$4))</f>
        <v/>
      </c>
    </row>
    <row r="108">
      <c r="A108" s="19" t="n"/>
      <c r="C108" s="17" t="n"/>
      <c r="F108" s="17">
        <f>IF(C108="","",SUM(C$7:C108))</f>
        <v/>
      </c>
      <c r="G108">
        <f>IF(C108="","",IF(F108&lt;=$C$4,"Sim","Não"))</f>
        <v/>
      </c>
      <c r="H108" s="17">
        <f>IF(C108="","",MAX(0,F108-$C$4))</f>
        <v/>
      </c>
    </row>
    <row r="109">
      <c r="A109" s="19" t="n"/>
      <c r="C109" s="17" t="n"/>
      <c r="F109" s="17">
        <f>IF(C109="","",SUM(C$7:C109))</f>
        <v/>
      </c>
      <c r="G109">
        <f>IF(C109="","",IF(F109&lt;=$C$4,"Sim","Não"))</f>
        <v/>
      </c>
      <c r="H109" s="17">
        <f>IF(C109="","",MAX(0,F109-$C$4))</f>
        <v/>
      </c>
    </row>
    <row r="110">
      <c r="A110" s="19" t="n"/>
      <c r="C110" s="17" t="n"/>
      <c r="F110" s="17">
        <f>IF(C110="","",SUM(C$7:C110))</f>
        <v/>
      </c>
      <c r="G110">
        <f>IF(C110="","",IF(F110&lt;=$C$4,"Sim","Não"))</f>
        <v/>
      </c>
      <c r="H110" s="17">
        <f>IF(C110="","",MAX(0,F110-$C$4))</f>
        <v/>
      </c>
    </row>
    <row r="111">
      <c r="A111" s="19" t="n"/>
      <c r="C111" s="17" t="n"/>
      <c r="F111" s="17">
        <f>IF(C111="","",SUM(C$7:C111))</f>
        <v/>
      </c>
      <c r="G111">
        <f>IF(C111="","",IF(F111&lt;=$C$4,"Sim","Não"))</f>
        <v/>
      </c>
      <c r="H111" s="17">
        <f>IF(C111="","",MAX(0,F111-$C$4))</f>
        <v/>
      </c>
    </row>
    <row r="112">
      <c r="A112" s="19" t="n"/>
      <c r="C112" s="17" t="n"/>
      <c r="F112" s="17">
        <f>IF(C112="","",SUM(C$7:C112))</f>
        <v/>
      </c>
      <c r="G112">
        <f>IF(C112="","",IF(F112&lt;=$C$4,"Sim","Não"))</f>
        <v/>
      </c>
      <c r="H112" s="17">
        <f>IF(C112="","",MAX(0,F112-$C$4))</f>
        <v/>
      </c>
    </row>
    <row r="113">
      <c r="A113" s="19" t="n"/>
      <c r="C113" s="17" t="n"/>
      <c r="F113" s="17">
        <f>IF(C113="","",SUM(C$7:C113))</f>
        <v/>
      </c>
      <c r="G113">
        <f>IF(C113="","",IF(F113&lt;=$C$4,"Sim","Não"))</f>
        <v/>
      </c>
      <c r="H113" s="17">
        <f>IF(C113="","",MAX(0,F113-$C$4))</f>
        <v/>
      </c>
    </row>
    <row r="114">
      <c r="A114" s="19" t="n"/>
      <c r="C114" s="17" t="n"/>
      <c r="F114" s="17">
        <f>IF(C114="","",SUM(C$7:C114))</f>
        <v/>
      </c>
      <c r="G114">
        <f>IF(C114="","",IF(F114&lt;=$C$4,"Sim","Não"))</f>
        <v/>
      </c>
      <c r="H114" s="17">
        <f>IF(C114="","",MAX(0,F114-$C$4))</f>
        <v/>
      </c>
    </row>
    <row r="115">
      <c r="A115" s="19" t="n"/>
      <c r="C115" s="17" t="n"/>
      <c r="F115" s="17">
        <f>IF(C115="","",SUM(C$7:C115))</f>
        <v/>
      </c>
      <c r="G115">
        <f>IF(C115="","",IF(F115&lt;=$C$4,"Sim","Não"))</f>
        <v/>
      </c>
      <c r="H115" s="17">
        <f>IF(C115="","",MAX(0,F115-$C$4))</f>
        <v/>
      </c>
    </row>
    <row r="116">
      <c r="A116" s="19" t="n"/>
      <c r="C116" s="17" t="n"/>
      <c r="F116" s="17">
        <f>IF(C116="","",SUM(C$7:C116))</f>
        <v/>
      </c>
      <c r="G116">
        <f>IF(C116="","",IF(F116&lt;=$C$4,"Sim","Não"))</f>
        <v/>
      </c>
      <c r="H116" s="17">
        <f>IF(C116="","",MAX(0,F116-$C$4))</f>
        <v/>
      </c>
    </row>
    <row r="117">
      <c r="A117" s="19" t="n"/>
      <c r="C117" s="17" t="n"/>
      <c r="F117" s="17">
        <f>IF(C117="","",SUM(C$7:C117))</f>
        <v/>
      </c>
      <c r="G117">
        <f>IF(C117="","",IF(F117&lt;=$C$4,"Sim","Não"))</f>
        <v/>
      </c>
      <c r="H117" s="17">
        <f>IF(C117="","",MAX(0,F117-$C$4))</f>
        <v/>
      </c>
    </row>
    <row r="118">
      <c r="A118" s="19" t="n"/>
      <c r="C118" s="17" t="n"/>
      <c r="F118" s="17">
        <f>IF(C118="","",SUM(C$7:C118))</f>
        <v/>
      </c>
      <c r="G118">
        <f>IF(C118="","",IF(F118&lt;=$C$4,"Sim","Não"))</f>
        <v/>
      </c>
      <c r="H118" s="17">
        <f>IF(C118="","",MAX(0,F118-$C$4))</f>
        <v/>
      </c>
    </row>
    <row r="119">
      <c r="A119" s="19" t="n"/>
      <c r="C119" s="17" t="n"/>
      <c r="F119" s="17">
        <f>IF(C119="","",SUM(C$7:C119))</f>
        <v/>
      </c>
      <c r="G119">
        <f>IF(C119="","",IF(F119&lt;=$C$4,"Sim","Não"))</f>
        <v/>
      </c>
      <c r="H119" s="17">
        <f>IF(C119="","",MAX(0,F119-$C$4))</f>
        <v/>
      </c>
    </row>
    <row r="120">
      <c r="A120" s="19" t="n"/>
      <c r="C120" s="17" t="n"/>
      <c r="F120" s="17">
        <f>IF(C120="","",SUM(C$7:C120))</f>
        <v/>
      </c>
      <c r="G120">
        <f>IF(C120="","",IF(F120&lt;=$C$4,"Sim","Não"))</f>
        <v/>
      </c>
      <c r="H120" s="17">
        <f>IF(C120="","",MAX(0,F120-$C$4))</f>
        <v/>
      </c>
    </row>
    <row r="121">
      <c r="A121" s="19" t="n"/>
      <c r="C121" s="17" t="n"/>
      <c r="F121" s="17">
        <f>IF(C121="","",SUM(C$7:C121))</f>
        <v/>
      </c>
      <c r="G121">
        <f>IF(C121="","",IF(F121&lt;=$C$4,"Sim","Não"))</f>
        <v/>
      </c>
      <c r="H121" s="17">
        <f>IF(C121="","",MAX(0,F121-$C$4))</f>
        <v/>
      </c>
    </row>
    <row r="122">
      <c r="A122" s="19" t="n"/>
      <c r="C122" s="17" t="n"/>
      <c r="F122" s="17">
        <f>IF(C122="","",SUM(C$7:C122))</f>
        <v/>
      </c>
      <c r="G122">
        <f>IF(C122="","",IF(F122&lt;=$C$4,"Sim","Não"))</f>
        <v/>
      </c>
      <c r="H122" s="17">
        <f>IF(C122="","",MAX(0,F122-$C$4))</f>
        <v/>
      </c>
    </row>
    <row r="123">
      <c r="A123" s="19" t="n"/>
      <c r="C123" s="17" t="n"/>
      <c r="F123" s="17">
        <f>IF(C123="","",SUM(C$7:C123))</f>
        <v/>
      </c>
      <c r="G123">
        <f>IF(C123="","",IF(F123&lt;=$C$4,"Sim","Não"))</f>
        <v/>
      </c>
      <c r="H123" s="17">
        <f>IF(C123="","",MAX(0,F123-$C$4))</f>
        <v/>
      </c>
    </row>
    <row r="124">
      <c r="A124" s="19" t="n"/>
      <c r="C124" s="17" t="n"/>
      <c r="F124" s="17">
        <f>IF(C124="","",SUM(C$7:C124))</f>
        <v/>
      </c>
      <c r="G124">
        <f>IF(C124="","",IF(F124&lt;=$C$4,"Sim","Não"))</f>
        <v/>
      </c>
      <c r="H124" s="17">
        <f>IF(C124="","",MAX(0,F124-$C$4))</f>
        <v/>
      </c>
    </row>
    <row r="125">
      <c r="A125" s="19" t="n"/>
      <c r="C125" s="17" t="n"/>
      <c r="F125" s="17">
        <f>IF(C125="","",SUM(C$7:C125))</f>
        <v/>
      </c>
      <c r="G125">
        <f>IF(C125="","",IF(F125&lt;=$C$4,"Sim","Não"))</f>
        <v/>
      </c>
      <c r="H125" s="17">
        <f>IF(C125="","",MAX(0,F125-$C$4))</f>
        <v/>
      </c>
    </row>
    <row r="126">
      <c r="A126" s="19" t="n"/>
      <c r="C126" s="17" t="n"/>
      <c r="F126" s="17">
        <f>IF(C126="","",SUM(C$7:C126))</f>
        <v/>
      </c>
      <c r="G126">
        <f>IF(C126="","",IF(F126&lt;=$C$4,"Sim","Não"))</f>
        <v/>
      </c>
      <c r="H126" s="17">
        <f>IF(C126="","",MAX(0,F126-$C$4))</f>
        <v/>
      </c>
    </row>
    <row r="127">
      <c r="A127" s="19" t="n"/>
      <c r="C127" s="17" t="n"/>
      <c r="F127" s="17">
        <f>IF(C127="","",SUM(C$7:C127))</f>
        <v/>
      </c>
      <c r="G127">
        <f>IF(C127="","",IF(F127&lt;=$C$4,"Sim","Não"))</f>
        <v/>
      </c>
      <c r="H127" s="17">
        <f>IF(C127="","",MAX(0,F127-$C$4))</f>
        <v/>
      </c>
    </row>
    <row r="128">
      <c r="A128" s="19" t="n"/>
      <c r="C128" s="17" t="n"/>
      <c r="F128" s="17">
        <f>IF(C128="","",SUM(C$7:C128))</f>
        <v/>
      </c>
      <c r="G128">
        <f>IF(C128="","",IF(F128&lt;=$C$4,"Sim","Não"))</f>
        <v/>
      </c>
      <c r="H128" s="17">
        <f>IF(C128="","",MAX(0,F128-$C$4))</f>
        <v/>
      </c>
    </row>
    <row r="129">
      <c r="A129" s="19" t="n"/>
      <c r="C129" s="17" t="n"/>
      <c r="F129" s="17">
        <f>IF(C129="","",SUM(C$7:C129))</f>
        <v/>
      </c>
      <c r="G129">
        <f>IF(C129="","",IF(F129&lt;=$C$4,"Sim","Não"))</f>
        <v/>
      </c>
      <c r="H129" s="17">
        <f>IF(C129="","",MAX(0,F129-$C$4))</f>
        <v/>
      </c>
    </row>
    <row r="130">
      <c r="A130" s="19" t="n"/>
      <c r="C130" s="17" t="n"/>
      <c r="F130" s="17">
        <f>IF(C130="","",SUM(C$7:C130))</f>
        <v/>
      </c>
      <c r="G130">
        <f>IF(C130="","",IF(F130&lt;=$C$4,"Sim","Não"))</f>
        <v/>
      </c>
      <c r="H130" s="17">
        <f>IF(C130="","",MAX(0,F130-$C$4))</f>
        <v/>
      </c>
    </row>
    <row r="131">
      <c r="A131" s="19" t="n"/>
      <c r="C131" s="17" t="n"/>
      <c r="F131" s="17">
        <f>IF(C131="","",SUM(C$7:C131))</f>
        <v/>
      </c>
      <c r="G131">
        <f>IF(C131="","",IF(F131&lt;=$C$4,"Sim","Não"))</f>
        <v/>
      </c>
      <c r="H131" s="17">
        <f>IF(C131="","",MAX(0,F131-$C$4))</f>
        <v/>
      </c>
    </row>
    <row r="132">
      <c r="A132" s="19" t="n"/>
      <c r="C132" s="17" t="n"/>
      <c r="F132" s="17">
        <f>IF(C132="","",SUM(C$7:C132))</f>
        <v/>
      </c>
      <c r="G132">
        <f>IF(C132="","",IF(F132&lt;=$C$4,"Sim","Não"))</f>
        <v/>
      </c>
      <c r="H132" s="17">
        <f>IF(C132="","",MAX(0,F132-$C$4))</f>
        <v/>
      </c>
    </row>
    <row r="133">
      <c r="A133" s="19" t="n"/>
      <c r="C133" s="17" t="n"/>
      <c r="F133" s="17">
        <f>IF(C133="","",SUM(C$7:C133))</f>
        <v/>
      </c>
      <c r="G133">
        <f>IF(C133="","",IF(F133&lt;=$C$4,"Sim","Não"))</f>
        <v/>
      </c>
      <c r="H133" s="17">
        <f>IF(C133="","",MAX(0,F133-$C$4))</f>
        <v/>
      </c>
    </row>
    <row r="134">
      <c r="A134" s="19" t="n"/>
      <c r="C134" s="17" t="n"/>
      <c r="F134" s="17">
        <f>IF(C134="","",SUM(C$7:C134))</f>
        <v/>
      </c>
      <c r="G134">
        <f>IF(C134="","",IF(F134&lt;=$C$4,"Sim","Não"))</f>
        <v/>
      </c>
      <c r="H134" s="17">
        <f>IF(C134="","",MAX(0,F134-$C$4))</f>
        <v/>
      </c>
    </row>
    <row r="135">
      <c r="A135" s="19" t="n"/>
      <c r="C135" s="17" t="n"/>
      <c r="F135" s="17">
        <f>IF(C135="","",SUM(C$7:C135))</f>
        <v/>
      </c>
      <c r="G135">
        <f>IF(C135="","",IF(F135&lt;=$C$4,"Sim","Não"))</f>
        <v/>
      </c>
      <c r="H135" s="17">
        <f>IF(C135="","",MAX(0,F135-$C$4))</f>
        <v/>
      </c>
    </row>
    <row r="136">
      <c r="A136" s="19" t="n"/>
      <c r="C136" s="17" t="n"/>
      <c r="F136" s="17">
        <f>IF(C136="","",SUM(C$7:C136))</f>
        <v/>
      </c>
      <c r="G136">
        <f>IF(C136="","",IF(F136&lt;=$C$4,"Sim","Não"))</f>
        <v/>
      </c>
      <c r="H136" s="17">
        <f>IF(C136="","",MAX(0,F136-$C$4))</f>
        <v/>
      </c>
    </row>
    <row r="137">
      <c r="A137" s="19" t="n"/>
      <c r="C137" s="17" t="n"/>
      <c r="F137" s="17">
        <f>IF(C137="","",SUM(C$7:C137))</f>
        <v/>
      </c>
      <c r="G137">
        <f>IF(C137="","",IF(F137&lt;=$C$4,"Sim","Não"))</f>
        <v/>
      </c>
      <c r="H137" s="17">
        <f>IF(C137="","",MAX(0,F137-$C$4))</f>
        <v/>
      </c>
    </row>
    <row r="138">
      <c r="A138" s="19" t="n"/>
      <c r="C138" s="17" t="n"/>
      <c r="F138" s="17">
        <f>IF(C138="","",SUM(C$7:C138))</f>
        <v/>
      </c>
      <c r="G138">
        <f>IF(C138="","",IF(F138&lt;=$C$4,"Sim","Não"))</f>
        <v/>
      </c>
      <c r="H138" s="17">
        <f>IF(C138="","",MAX(0,F138-$C$4))</f>
        <v/>
      </c>
    </row>
    <row r="139">
      <c r="A139" s="19" t="n"/>
      <c r="C139" s="17" t="n"/>
      <c r="F139" s="17">
        <f>IF(C139="","",SUM(C$7:C139))</f>
        <v/>
      </c>
      <c r="G139">
        <f>IF(C139="","",IF(F139&lt;=$C$4,"Sim","Não"))</f>
        <v/>
      </c>
      <c r="H139" s="17">
        <f>IF(C139="","",MAX(0,F139-$C$4))</f>
        <v/>
      </c>
    </row>
    <row r="140">
      <c r="A140" s="19" t="n"/>
      <c r="C140" s="17" t="n"/>
      <c r="F140" s="17">
        <f>IF(C140="","",SUM(C$7:C140))</f>
        <v/>
      </c>
      <c r="G140">
        <f>IF(C140="","",IF(F140&lt;=$C$4,"Sim","Não"))</f>
        <v/>
      </c>
      <c r="H140" s="17">
        <f>IF(C140="","",MAX(0,F140-$C$4))</f>
        <v/>
      </c>
    </row>
    <row r="141">
      <c r="A141" s="19" t="n"/>
      <c r="C141" s="17" t="n"/>
      <c r="F141" s="17">
        <f>IF(C141="","",SUM(C$7:C141))</f>
        <v/>
      </c>
      <c r="G141">
        <f>IF(C141="","",IF(F141&lt;=$C$4,"Sim","Não"))</f>
        <v/>
      </c>
      <c r="H141" s="17">
        <f>IF(C141="","",MAX(0,F141-$C$4))</f>
        <v/>
      </c>
    </row>
    <row r="142">
      <c r="A142" s="19" t="n"/>
      <c r="C142" s="17" t="n"/>
      <c r="F142" s="17">
        <f>IF(C142="","",SUM(C$7:C142))</f>
        <v/>
      </c>
      <c r="G142">
        <f>IF(C142="","",IF(F142&lt;=$C$4,"Sim","Não"))</f>
        <v/>
      </c>
      <c r="H142" s="17">
        <f>IF(C142="","",MAX(0,F142-$C$4))</f>
        <v/>
      </c>
    </row>
    <row r="143">
      <c r="A143" s="19" t="n"/>
      <c r="C143" s="17" t="n"/>
      <c r="F143" s="17">
        <f>IF(C143="","",SUM(C$7:C143))</f>
        <v/>
      </c>
      <c r="G143">
        <f>IF(C143="","",IF(F143&lt;=$C$4,"Sim","Não"))</f>
        <v/>
      </c>
      <c r="H143" s="17">
        <f>IF(C143="","",MAX(0,F143-$C$4))</f>
        <v/>
      </c>
    </row>
    <row r="144">
      <c r="A144" s="19" t="n"/>
      <c r="C144" s="17" t="n"/>
      <c r="F144" s="17">
        <f>IF(C144="","",SUM(C$7:C144))</f>
        <v/>
      </c>
      <c r="G144">
        <f>IF(C144="","",IF(F144&lt;=$C$4,"Sim","Não"))</f>
        <v/>
      </c>
      <c r="H144" s="17">
        <f>IF(C144="","",MAX(0,F144-$C$4))</f>
        <v/>
      </c>
    </row>
    <row r="145">
      <c r="A145" s="19" t="n"/>
      <c r="C145" s="17" t="n"/>
      <c r="F145" s="17">
        <f>IF(C145="","",SUM(C$7:C145))</f>
        <v/>
      </c>
      <c r="G145">
        <f>IF(C145="","",IF(F145&lt;=$C$4,"Sim","Não"))</f>
        <v/>
      </c>
      <c r="H145" s="17">
        <f>IF(C145="","",MAX(0,F145-$C$4))</f>
        <v/>
      </c>
    </row>
    <row r="146">
      <c r="A146" s="19" t="n"/>
      <c r="C146" s="17" t="n"/>
      <c r="F146" s="17">
        <f>IF(C146="","",SUM(C$7:C146))</f>
        <v/>
      </c>
      <c r="G146">
        <f>IF(C146="","",IF(F146&lt;=$C$4,"Sim","Não"))</f>
        <v/>
      </c>
      <c r="H146" s="17">
        <f>IF(C146="","",MAX(0,F146-$C$4))</f>
        <v/>
      </c>
    </row>
    <row r="147">
      <c r="A147" s="19" t="n"/>
      <c r="C147" s="17" t="n"/>
      <c r="F147" s="17">
        <f>IF(C147="","",SUM(C$7:C147))</f>
        <v/>
      </c>
      <c r="G147">
        <f>IF(C147="","",IF(F147&lt;=$C$4,"Sim","Não"))</f>
        <v/>
      </c>
      <c r="H147" s="17">
        <f>IF(C147="","",MAX(0,F147-$C$4))</f>
        <v/>
      </c>
    </row>
    <row r="148">
      <c r="A148" s="19" t="n"/>
      <c r="C148" s="17" t="n"/>
      <c r="F148" s="17">
        <f>IF(C148="","",SUM(C$7:C148))</f>
        <v/>
      </c>
      <c r="G148">
        <f>IF(C148="","",IF(F148&lt;=$C$4,"Sim","Não"))</f>
        <v/>
      </c>
      <c r="H148" s="17">
        <f>IF(C148="","",MAX(0,F148-$C$4))</f>
        <v/>
      </c>
    </row>
    <row r="149">
      <c r="A149" s="19" t="n"/>
      <c r="C149" s="17" t="n"/>
      <c r="F149" s="17">
        <f>IF(C149="","",SUM(C$7:C149))</f>
        <v/>
      </c>
      <c r="G149">
        <f>IF(C149="","",IF(F149&lt;=$C$4,"Sim","Não"))</f>
        <v/>
      </c>
      <c r="H149" s="17">
        <f>IF(C149="","",MAX(0,F149-$C$4))</f>
        <v/>
      </c>
    </row>
    <row r="150">
      <c r="A150" s="19" t="n"/>
      <c r="C150" s="17" t="n"/>
      <c r="F150" s="17">
        <f>IF(C150="","",SUM(C$7:C150))</f>
        <v/>
      </c>
      <c r="G150">
        <f>IF(C150="","",IF(F150&lt;=$C$4,"Sim","Não"))</f>
        <v/>
      </c>
      <c r="H150" s="17">
        <f>IF(C150="","",MAX(0,F150-$C$4))</f>
        <v/>
      </c>
    </row>
    <row r="151">
      <c r="A151" s="19" t="n"/>
      <c r="C151" s="17" t="n"/>
      <c r="F151" s="17">
        <f>IF(C151="","",SUM(C$7:C151))</f>
        <v/>
      </c>
      <c r="G151">
        <f>IF(C151="","",IF(F151&lt;=$C$4,"Sim","Não"))</f>
        <v/>
      </c>
      <c r="H151" s="17">
        <f>IF(C151="","",MAX(0,F151-$C$4))</f>
        <v/>
      </c>
    </row>
    <row r="152">
      <c r="A152" s="19" t="n"/>
      <c r="C152" s="17" t="n"/>
      <c r="F152" s="17">
        <f>IF(C152="","",SUM(C$7:C152))</f>
        <v/>
      </c>
      <c r="G152">
        <f>IF(C152="","",IF(F152&lt;=$C$4,"Sim","Não"))</f>
        <v/>
      </c>
      <c r="H152" s="17">
        <f>IF(C152="","",MAX(0,F152-$C$4))</f>
        <v/>
      </c>
    </row>
    <row r="153">
      <c r="A153" s="19" t="n"/>
      <c r="C153" s="17" t="n"/>
      <c r="F153" s="17">
        <f>IF(C153="","",SUM(C$7:C153))</f>
        <v/>
      </c>
      <c r="G153">
        <f>IF(C153="","",IF(F153&lt;=$C$4,"Sim","Não"))</f>
        <v/>
      </c>
      <c r="H153" s="17">
        <f>IF(C153="","",MAX(0,F153-$C$4))</f>
        <v/>
      </c>
    </row>
    <row r="154">
      <c r="A154" s="19" t="n"/>
      <c r="C154" s="17" t="n"/>
      <c r="F154" s="17">
        <f>IF(C154="","",SUM(C$7:C154))</f>
        <v/>
      </c>
      <c r="G154">
        <f>IF(C154="","",IF(F154&lt;=$C$4,"Sim","Não"))</f>
        <v/>
      </c>
      <c r="H154" s="17">
        <f>IF(C154="","",MAX(0,F154-$C$4))</f>
        <v/>
      </c>
    </row>
    <row r="155">
      <c r="A155" s="19" t="n"/>
      <c r="C155" s="17" t="n"/>
      <c r="F155" s="17">
        <f>IF(C155="","",SUM(C$7:C155))</f>
        <v/>
      </c>
      <c r="G155">
        <f>IF(C155="","",IF(F155&lt;=$C$4,"Sim","Não"))</f>
        <v/>
      </c>
      <c r="H155" s="17">
        <f>IF(C155="","",MAX(0,F155-$C$4))</f>
        <v/>
      </c>
    </row>
    <row r="156">
      <c r="A156" s="19" t="n"/>
      <c r="C156" s="17" t="n"/>
      <c r="F156" s="17">
        <f>IF(C156="","",SUM(C$7:C156))</f>
        <v/>
      </c>
      <c r="G156">
        <f>IF(C156="","",IF(F156&lt;=$C$4,"Sim","Não"))</f>
        <v/>
      </c>
      <c r="H156" s="17">
        <f>IF(C156="","",MAX(0,F156-$C$4))</f>
        <v/>
      </c>
    </row>
    <row r="157">
      <c r="A157" s="19" t="n"/>
      <c r="C157" s="17" t="n"/>
      <c r="F157" s="17">
        <f>IF(C157="","",SUM(C$7:C157))</f>
        <v/>
      </c>
      <c r="G157">
        <f>IF(C157="","",IF(F157&lt;=$C$4,"Sim","Não"))</f>
        <v/>
      </c>
      <c r="H157" s="17">
        <f>IF(C157="","",MAX(0,F157-$C$4))</f>
        <v/>
      </c>
    </row>
    <row r="158">
      <c r="A158" s="19" t="n"/>
      <c r="C158" s="17" t="n"/>
      <c r="F158" s="17">
        <f>IF(C158="","",SUM(C$7:C158))</f>
        <v/>
      </c>
      <c r="G158">
        <f>IF(C158="","",IF(F158&lt;=$C$4,"Sim","Não"))</f>
        <v/>
      </c>
      <c r="H158" s="17">
        <f>IF(C158="","",MAX(0,F158-$C$4))</f>
        <v/>
      </c>
    </row>
    <row r="159">
      <c r="A159" s="19" t="n"/>
      <c r="C159" s="17" t="n"/>
      <c r="F159" s="17">
        <f>IF(C159="","",SUM(C$7:C159))</f>
        <v/>
      </c>
      <c r="G159">
        <f>IF(C159="","",IF(F159&lt;=$C$4,"Sim","Não"))</f>
        <v/>
      </c>
      <c r="H159" s="17">
        <f>IF(C159="","",MAX(0,F159-$C$4))</f>
        <v/>
      </c>
    </row>
    <row r="160">
      <c r="A160" s="19" t="n"/>
      <c r="C160" s="17" t="n"/>
      <c r="F160" s="17">
        <f>IF(C160="","",SUM(C$7:C160))</f>
        <v/>
      </c>
      <c r="G160">
        <f>IF(C160="","",IF(F160&lt;=$C$4,"Sim","Não"))</f>
        <v/>
      </c>
      <c r="H160" s="17">
        <f>IF(C160="","",MAX(0,F160-$C$4))</f>
        <v/>
      </c>
    </row>
    <row r="161">
      <c r="A161" s="19" t="n"/>
      <c r="C161" s="17" t="n"/>
      <c r="F161" s="17">
        <f>IF(C161="","",SUM(C$7:C161))</f>
        <v/>
      </c>
      <c r="G161">
        <f>IF(C161="","",IF(F161&lt;=$C$4,"Sim","Não"))</f>
        <v/>
      </c>
      <c r="H161" s="17">
        <f>IF(C161="","",MAX(0,F161-$C$4))</f>
        <v/>
      </c>
    </row>
    <row r="162">
      <c r="A162" s="19" t="n"/>
      <c r="C162" s="17" t="n"/>
      <c r="F162" s="17">
        <f>IF(C162="","",SUM(C$7:C162))</f>
        <v/>
      </c>
      <c r="G162">
        <f>IF(C162="","",IF(F162&lt;=$C$4,"Sim","Não"))</f>
        <v/>
      </c>
      <c r="H162" s="17">
        <f>IF(C162="","",MAX(0,F162-$C$4))</f>
        <v/>
      </c>
    </row>
    <row r="163">
      <c r="A163" s="19" t="n"/>
      <c r="C163" s="17" t="n"/>
      <c r="F163" s="17">
        <f>IF(C163="","",SUM(C$7:C163))</f>
        <v/>
      </c>
      <c r="G163">
        <f>IF(C163="","",IF(F163&lt;=$C$4,"Sim","Não"))</f>
        <v/>
      </c>
      <c r="H163" s="17">
        <f>IF(C163="","",MAX(0,F163-$C$4))</f>
        <v/>
      </c>
    </row>
    <row r="164">
      <c r="A164" s="19" t="n"/>
      <c r="C164" s="17" t="n"/>
      <c r="F164" s="17">
        <f>IF(C164="","",SUM(C$7:C164))</f>
        <v/>
      </c>
      <c r="G164">
        <f>IF(C164="","",IF(F164&lt;=$C$4,"Sim","Não"))</f>
        <v/>
      </c>
      <c r="H164" s="17">
        <f>IF(C164="","",MAX(0,F164-$C$4))</f>
        <v/>
      </c>
    </row>
    <row r="165">
      <c r="A165" s="19" t="n"/>
      <c r="C165" s="17" t="n"/>
      <c r="F165" s="17">
        <f>IF(C165="","",SUM(C$7:C165))</f>
        <v/>
      </c>
      <c r="G165">
        <f>IF(C165="","",IF(F165&lt;=$C$4,"Sim","Não"))</f>
        <v/>
      </c>
      <c r="H165" s="17">
        <f>IF(C165="","",MAX(0,F165-$C$4))</f>
        <v/>
      </c>
    </row>
    <row r="166">
      <c r="A166" s="19" t="n"/>
      <c r="C166" s="17" t="n"/>
      <c r="F166" s="17">
        <f>IF(C166="","",SUM(C$7:C166))</f>
        <v/>
      </c>
      <c r="G166">
        <f>IF(C166="","",IF(F166&lt;=$C$4,"Sim","Não"))</f>
        <v/>
      </c>
      <c r="H166" s="17">
        <f>IF(C166="","",MAX(0,F166-$C$4))</f>
        <v/>
      </c>
    </row>
    <row r="167">
      <c r="A167" s="19" t="n"/>
      <c r="C167" s="17" t="n"/>
      <c r="F167" s="17">
        <f>IF(C167="","",SUM(C$7:C167))</f>
        <v/>
      </c>
      <c r="G167">
        <f>IF(C167="","",IF(F167&lt;=$C$4,"Sim","Não"))</f>
        <v/>
      </c>
      <c r="H167" s="17">
        <f>IF(C167="","",MAX(0,F167-$C$4))</f>
        <v/>
      </c>
    </row>
    <row r="168">
      <c r="A168" s="19" t="n"/>
      <c r="C168" s="17" t="n"/>
      <c r="F168" s="17">
        <f>IF(C168="","",SUM(C$7:C168))</f>
        <v/>
      </c>
      <c r="G168">
        <f>IF(C168="","",IF(F168&lt;=$C$4,"Sim","Não"))</f>
        <v/>
      </c>
      <c r="H168" s="17">
        <f>IF(C168="","",MAX(0,F168-$C$4))</f>
        <v/>
      </c>
    </row>
    <row r="169">
      <c r="A169" s="19" t="n"/>
      <c r="C169" s="17" t="n"/>
      <c r="F169" s="17">
        <f>IF(C169="","",SUM(C$7:C169))</f>
        <v/>
      </c>
      <c r="G169">
        <f>IF(C169="","",IF(F169&lt;=$C$4,"Sim","Não"))</f>
        <v/>
      </c>
      <c r="H169" s="17">
        <f>IF(C169="","",MAX(0,F169-$C$4))</f>
        <v/>
      </c>
    </row>
    <row r="170">
      <c r="A170" s="19" t="n"/>
      <c r="C170" s="17" t="n"/>
      <c r="F170" s="17">
        <f>IF(C170="","",SUM(C$7:C170))</f>
        <v/>
      </c>
      <c r="G170">
        <f>IF(C170="","",IF(F170&lt;=$C$4,"Sim","Não"))</f>
        <v/>
      </c>
      <c r="H170" s="17">
        <f>IF(C170="","",MAX(0,F170-$C$4))</f>
        <v/>
      </c>
    </row>
    <row r="171">
      <c r="A171" s="19" t="n"/>
      <c r="C171" s="17" t="n"/>
      <c r="F171" s="17">
        <f>IF(C171="","",SUM(C$7:C171))</f>
        <v/>
      </c>
      <c r="G171">
        <f>IF(C171="","",IF(F171&lt;=$C$4,"Sim","Não"))</f>
        <v/>
      </c>
      <c r="H171" s="17">
        <f>IF(C171="","",MAX(0,F171-$C$4))</f>
        <v/>
      </c>
    </row>
    <row r="172">
      <c r="A172" s="19" t="n"/>
      <c r="C172" s="17" t="n"/>
      <c r="F172" s="17">
        <f>IF(C172="","",SUM(C$7:C172))</f>
        <v/>
      </c>
      <c r="G172">
        <f>IF(C172="","",IF(F172&lt;=$C$4,"Sim","Não"))</f>
        <v/>
      </c>
      <c r="H172" s="17">
        <f>IF(C172="","",MAX(0,F172-$C$4))</f>
        <v/>
      </c>
    </row>
    <row r="173">
      <c r="A173" s="19" t="n"/>
      <c r="C173" s="17" t="n"/>
      <c r="F173" s="17">
        <f>IF(C173="","",SUM(C$7:C173))</f>
        <v/>
      </c>
      <c r="G173">
        <f>IF(C173="","",IF(F173&lt;=$C$4,"Sim","Não"))</f>
        <v/>
      </c>
      <c r="H173" s="17">
        <f>IF(C173="","",MAX(0,F173-$C$4))</f>
        <v/>
      </c>
    </row>
    <row r="174">
      <c r="A174" s="19" t="n"/>
      <c r="C174" s="17" t="n"/>
      <c r="F174" s="17">
        <f>IF(C174="","",SUM(C$7:C174))</f>
        <v/>
      </c>
      <c r="G174">
        <f>IF(C174="","",IF(F174&lt;=$C$4,"Sim","Não"))</f>
        <v/>
      </c>
      <c r="H174" s="17">
        <f>IF(C174="","",MAX(0,F174-$C$4))</f>
        <v/>
      </c>
    </row>
    <row r="175">
      <c r="A175" s="19" t="n"/>
      <c r="C175" s="17" t="n"/>
      <c r="F175" s="17">
        <f>IF(C175="","",SUM(C$7:C175))</f>
        <v/>
      </c>
      <c r="G175">
        <f>IF(C175="","",IF(F175&lt;=$C$4,"Sim","Não"))</f>
        <v/>
      </c>
      <c r="H175" s="17">
        <f>IF(C175="","",MAX(0,F175-$C$4))</f>
        <v/>
      </c>
    </row>
    <row r="176">
      <c r="A176" s="19" t="n"/>
      <c r="C176" s="17" t="n"/>
      <c r="F176" s="17">
        <f>IF(C176="","",SUM(C$7:C176))</f>
        <v/>
      </c>
      <c r="G176">
        <f>IF(C176="","",IF(F176&lt;=$C$4,"Sim","Não"))</f>
        <v/>
      </c>
      <c r="H176" s="17">
        <f>IF(C176="","",MAX(0,F176-$C$4))</f>
        <v/>
      </c>
    </row>
    <row r="177">
      <c r="A177" s="19" t="n"/>
      <c r="C177" s="17" t="n"/>
      <c r="F177" s="17">
        <f>IF(C177="","",SUM(C$7:C177))</f>
        <v/>
      </c>
      <c r="G177">
        <f>IF(C177="","",IF(F177&lt;=$C$4,"Sim","Não"))</f>
        <v/>
      </c>
      <c r="H177" s="17">
        <f>IF(C177="","",MAX(0,F177-$C$4))</f>
        <v/>
      </c>
    </row>
    <row r="178">
      <c r="A178" s="19" t="n"/>
      <c r="C178" s="17" t="n"/>
      <c r="F178" s="17">
        <f>IF(C178="","",SUM(C$7:C178))</f>
        <v/>
      </c>
      <c r="G178">
        <f>IF(C178="","",IF(F178&lt;=$C$4,"Sim","Não"))</f>
        <v/>
      </c>
      <c r="H178" s="17">
        <f>IF(C178="","",MAX(0,F178-$C$4))</f>
        <v/>
      </c>
    </row>
    <row r="179">
      <c r="A179" s="19" t="n"/>
      <c r="C179" s="17" t="n"/>
      <c r="F179" s="17">
        <f>IF(C179="","",SUM(C$7:C179))</f>
        <v/>
      </c>
      <c r="G179">
        <f>IF(C179="","",IF(F179&lt;=$C$4,"Sim","Não"))</f>
        <v/>
      </c>
      <c r="H179" s="17">
        <f>IF(C179="","",MAX(0,F179-$C$4))</f>
        <v/>
      </c>
    </row>
    <row r="180">
      <c r="A180" s="19" t="n"/>
      <c r="C180" s="17" t="n"/>
      <c r="F180" s="17">
        <f>IF(C180="","",SUM(C$7:C180))</f>
        <v/>
      </c>
      <c r="G180">
        <f>IF(C180="","",IF(F180&lt;=$C$4,"Sim","Não"))</f>
        <v/>
      </c>
      <c r="H180" s="17">
        <f>IF(C180="","",MAX(0,F180-$C$4))</f>
        <v/>
      </c>
    </row>
    <row r="181">
      <c r="A181" s="19" t="n"/>
      <c r="C181" s="17" t="n"/>
      <c r="F181" s="17">
        <f>IF(C181="","",SUM(C$7:C181))</f>
        <v/>
      </c>
      <c r="G181">
        <f>IF(C181="","",IF(F181&lt;=$C$4,"Sim","Não"))</f>
        <v/>
      </c>
      <c r="H181" s="17">
        <f>IF(C181="","",MAX(0,F181-$C$4))</f>
        <v/>
      </c>
    </row>
    <row r="182">
      <c r="A182" s="19" t="n"/>
      <c r="C182" s="17" t="n"/>
      <c r="F182" s="17">
        <f>IF(C182="","",SUM(C$7:C182))</f>
        <v/>
      </c>
      <c r="G182">
        <f>IF(C182="","",IF(F182&lt;=$C$4,"Sim","Não"))</f>
        <v/>
      </c>
      <c r="H182" s="17">
        <f>IF(C182="","",MAX(0,F182-$C$4))</f>
        <v/>
      </c>
    </row>
    <row r="183">
      <c r="A183" s="19" t="n"/>
      <c r="C183" s="17" t="n"/>
      <c r="F183" s="17">
        <f>IF(C183="","",SUM(C$7:C183))</f>
        <v/>
      </c>
      <c r="G183">
        <f>IF(C183="","",IF(F183&lt;=$C$4,"Sim","Não"))</f>
        <v/>
      </c>
      <c r="H183" s="17">
        <f>IF(C183="","",MAX(0,F183-$C$4))</f>
        <v/>
      </c>
    </row>
    <row r="184">
      <c r="A184" s="19" t="n"/>
      <c r="C184" s="17" t="n"/>
      <c r="F184" s="17">
        <f>IF(C184="","",SUM(C$7:C184))</f>
        <v/>
      </c>
      <c r="G184">
        <f>IF(C184="","",IF(F184&lt;=$C$4,"Sim","Não"))</f>
        <v/>
      </c>
      <c r="H184" s="17">
        <f>IF(C184="","",MAX(0,F184-$C$4))</f>
        <v/>
      </c>
    </row>
    <row r="185">
      <c r="A185" s="19" t="n"/>
      <c r="C185" s="17" t="n"/>
      <c r="F185" s="17">
        <f>IF(C185="","",SUM(C$7:C185))</f>
        <v/>
      </c>
      <c r="G185">
        <f>IF(C185="","",IF(F185&lt;=$C$4,"Sim","Não"))</f>
        <v/>
      </c>
      <c r="H185" s="17">
        <f>IF(C185="","",MAX(0,F185-$C$4))</f>
        <v/>
      </c>
    </row>
    <row r="186">
      <c r="A186" s="19" t="n"/>
      <c r="C186" s="17" t="n"/>
      <c r="F186" s="17">
        <f>IF(C186="","",SUM(C$7:C186))</f>
        <v/>
      </c>
      <c r="G186">
        <f>IF(C186="","",IF(F186&lt;=$C$4,"Sim","Não"))</f>
        <v/>
      </c>
      <c r="H186" s="17">
        <f>IF(C186="","",MAX(0,F186-$C$4))</f>
        <v/>
      </c>
    </row>
    <row r="187">
      <c r="A187" s="19" t="n"/>
      <c r="C187" s="17" t="n"/>
      <c r="F187" s="17">
        <f>IF(C187="","",SUM(C$7:C187))</f>
        <v/>
      </c>
      <c r="G187">
        <f>IF(C187="","",IF(F187&lt;=$C$4,"Sim","Não"))</f>
        <v/>
      </c>
      <c r="H187" s="17">
        <f>IF(C187="","",MAX(0,F187-$C$4))</f>
        <v/>
      </c>
    </row>
    <row r="188">
      <c r="A188" s="19" t="n"/>
      <c r="C188" s="17" t="n"/>
      <c r="F188" s="17">
        <f>IF(C188="","",SUM(C$7:C188))</f>
        <v/>
      </c>
      <c r="G188">
        <f>IF(C188="","",IF(F188&lt;=$C$4,"Sim","Não"))</f>
        <v/>
      </c>
      <c r="H188" s="17">
        <f>IF(C188="","",MAX(0,F188-$C$4))</f>
        <v/>
      </c>
    </row>
    <row r="189">
      <c r="A189" s="19" t="n"/>
      <c r="C189" s="17" t="n"/>
      <c r="F189" s="17">
        <f>IF(C189="","",SUM(C$7:C189))</f>
        <v/>
      </c>
      <c r="G189">
        <f>IF(C189="","",IF(F189&lt;=$C$4,"Sim","Não"))</f>
        <v/>
      </c>
      <c r="H189" s="17">
        <f>IF(C189="","",MAX(0,F189-$C$4))</f>
        <v/>
      </c>
    </row>
    <row r="190">
      <c r="A190" s="19" t="n"/>
      <c r="C190" s="17" t="n"/>
      <c r="F190" s="17">
        <f>IF(C190="","",SUM(C$7:C190))</f>
        <v/>
      </c>
      <c r="G190">
        <f>IF(C190="","",IF(F190&lt;=$C$4,"Sim","Não"))</f>
        <v/>
      </c>
      <c r="H190" s="17">
        <f>IF(C190="","",MAX(0,F190-$C$4))</f>
        <v/>
      </c>
    </row>
    <row r="191">
      <c r="A191" s="19" t="n"/>
      <c r="C191" s="17" t="n"/>
      <c r="F191" s="17">
        <f>IF(C191="","",SUM(C$7:C191))</f>
        <v/>
      </c>
      <c r="G191">
        <f>IF(C191="","",IF(F191&lt;=$C$4,"Sim","Não"))</f>
        <v/>
      </c>
      <c r="H191" s="17">
        <f>IF(C191="","",MAX(0,F191-$C$4))</f>
        <v/>
      </c>
    </row>
    <row r="192">
      <c r="A192" s="19" t="n"/>
      <c r="C192" s="17" t="n"/>
      <c r="F192" s="17">
        <f>IF(C192="","",SUM(C$7:C192))</f>
        <v/>
      </c>
      <c r="G192">
        <f>IF(C192="","",IF(F192&lt;=$C$4,"Sim","Não"))</f>
        <v/>
      </c>
      <c r="H192" s="17">
        <f>IF(C192="","",MAX(0,F192-$C$4))</f>
        <v/>
      </c>
    </row>
    <row r="193">
      <c r="A193" s="19" t="n"/>
      <c r="C193" s="17" t="n"/>
      <c r="F193" s="17">
        <f>IF(C193="","",SUM(C$7:C193))</f>
        <v/>
      </c>
      <c r="G193">
        <f>IF(C193="","",IF(F193&lt;=$C$4,"Sim","Não"))</f>
        <v/>
      </c>
      <c r="H193" s="17">
        <f>IF(C193="","",MAX(0,F193-$C$4))</f>
        <v/>
      </c>
    </row>
    <row r="194">
      <c r="A194" s="19" t="n"/>
      <c r="C194" s="17" t="n"/>
      <c r="F194" s="17">
        <f>IF(C194="","",SUM(C$7:C194))</f>
        <v/>
      </c>
      <c r="G194">
        <f>IF(C194="","",IF(F194&lt;=$C$4,"Sim","Não"))</f>
        <v/>
      </c>
      <c r="H194" s="17">
        <f>IF(C194="","",MAX(0,F194-$C$4))</f>
        <v/>
      </c>
    </row>
    <row r="195">
      <c r="A195" s="19" t="n"/>
      <c r="C195" s="17" t="n"/>
      <c r="F195" s="17">
        <f>IF(C195="","",SUM(C$7:C195))</f>
        <v/>
      </c>
      <c r="G195">
        <f>IF(C195="","",IF(F195&lt;=$C$4,"Sim","Não"))</f>
        <v/>
      </c>
      <c r="H195" s="17">
        <f>IF(C195="","",MAX(0,F195-$C$4))</f>
        <v/>
      </c>
    </row>
    <row r="196">
      <c r="A196" s="19" t="n"/>
      <c r="C196" s="17" t="n"/>
      <c r="F196" s="17">
        <f>IF(C196="","",SUM(C$7:C196))</f>
        <v/>
      </c>
      <c r="G196">
        <f>IF(C196="","",IF(F196&lt;=$C$4,"Sim","Não"))</f>
        <v/>
      </c>
      <c r="H196" s="17">
        <f>IF(C196="","",MAX(0,F196-$C$4))</f>
        <v/>
      </c>
    </row>
    <row r="197">
      <c r="A197" s="19" t="n"/>
      <c r="C197" s="17" t="n"/>
      <c r="F197" s="17">
        <f>IF(C197="","",SUM(C$7:C197))</f>
        <v/>
      </c>
      <c r="G197">
        <f>IF(C197="","",IF(F197&lt;=$C$4,"Sim","Não"))</f>
        <v/>
      </c>
      <c r="H197" s="17">
        <f>IF(C197="","",MAX(0,F197-$C$4))</f>
        <v/>
      </c>
    </row>
    <row r="198">
      <c r="A198" s="19" t="n"/>
      <c r="C198" s="17" t="n"/>
      <c r="F198" s="17">
        <f>IF(C198="","",SUM(C$7:C198))</f>
        <v/>
      </c>
      <c r="G198">
        <f>IF(C198="","",IF(F198&lt;=$C$4,"Sim","Não"))</f>
        <v/>
      </c>
      <c r="H198" s="17">
        <f>IF(C198="","",MAX(0,F198-$C$4))</f>
        <v/>
      </c>
    </row>
    <row r="199">
      <c r="A199" s="19" t="n"/>
      <c r="C199" s="17" t="n"/>
      <c r="F199" s="17">
        <f>IF(C199="","",SUM(C$7:C199))</f>
        <v/>
      </c>
      <c r="G199">
        <f>IF(C199="","",IF(F199&lt;=$C$4,"Sim","Não"))</f>
        <v/>
      </c>
      <c r="H199" s="17">
        <f>IF(C199="","",MAX(0,F199-$C$4))</f>
        <v/>
      </c>
    </row>
    <row r="200">
      <c r="A200" s="19" t="n"/>
      <c r="C200" s="17" t="n"/>
      <c r="F200" s="17">
        <f>IF(C200="","",SUM(C$7:C200))</f>
        <v/>
      </c>
      <c r="G200">
        <f>IF(C200="","",IF(F200&lt;=$C$4,"Sim","Não"))</f>
        <v/>
      </c>
      <c r="H200" s="17">
        <f>IF(C200="","",MAX(0,F200-$C$4))</f>
        <v/>
      </c>
    </row>
    <row r="201">
      <c r="A201" s="19" t="n"/>
      <c r="C201" s="17" t="n"/>
      <c r="F201" s="17">
        <f>IF(C201="","",SUM(C$7:C201))</f>
        <v/>
      </c>
      <c r="G201">
        <f>IF(C201="","",IF(F201&lt;=$C$4,"Sim","Não"))</f>
        <v/>
      </c>
      <c r="H201" s="17">
        <f>IF(C201="","",MAX(0,F201-$C$4))</f>
        <v/>
      </c>
    </row>
    <row r="202">
      <c r="A202" s="19" t="n"/>
      <c r="C202" s="17" t="n"/>
      <c r="F202" s="17">
        <f>IF(C202="","",SUM(C$7:C202))</f>
        <v/>
      </c>
      <c r="G202">
        <f>IF(C202="","",IF(F202&lt;=$C$4,"Sim","Não"))</f>
        <v/>
      </c>
      <c r="H202" s="17">
        <f>IF(C202="","",MAX(0,F202-$C$4))</f>
        <v/>
      </c>
    </row>
    <row r="203">
      <c r="A203" s="19" t="n"/>
      <c r="C203" s="17" t="n"/>
      <c r="F203" s="17">
        <f>IF(C203="","",SUM(C$7:C203))</f>
        <v/>
      </c>
      <c r="G203">
        <f>IF(C203="","",IF(F203&lt;=$C$4,"Sim","Não"))</f>
        <v/>
      </c>
      <c r="H203" s="17">
        <f>IF(C203="","",MAX(0,F203-$C$4))</f>
        <v/>
      </c>
    </row>
    <row r="204">
      <c r="A204" s="19" t="n"/>
      <c r="C204" s="17" t="n"/>
      <c r="F204" s="17">
        <f>IF(C204="","",SUM(C$7:C204))</f>
        <v/>
      </c>
      <c r="G204">
        <f>IF(C204="","",IF(F204&lt;=$C$4,"Sim","Não"))</f>
        <v/>
      </c>
      <c r="H204" s="17">
        <f>IF(C204="","",MAX(0,F204-$C$4))</f>
        <v/>
      </c>
    </row>
    <row r="205">
      <c r="A205" s="19" t="n"/>
      <c r="C205" s="17" t="n"/>
      <c r="F205" s="17">
        <f>IF(C205="","",SUM(C$7:C205))</f>
        <v/>
      </c>
      <c r="G205">
        <f>IF(C205="","",IF(F205&lt;=$C$4,"Sim","Não"))</f>
        <v/>
      </c>
      <c r="H205" s="17">
        <f>IF(C205="","",MAX(0,F205-$C$4))</f>
        <v/>
      </c>
    </row>
    <row r="206">
      <c r="A206" s="19" t="n"/>
      <c r="C206" s="17" t="n"/>
      <c r="F206" s="17">
        <f>IF(C206="","",SUM(C$7:C206))</f>
        <v/>
      </c>
      <c r="G206">
        <f>IF(C206="","",IF(F206&lt;=$C$4,"Sim","Não"))</f>
        <v/>
      </c>
      <c r="H206" s="17">
        <f>IF(C206="","",MAX(0,F206-$C$4))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3E73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</cols>
  <sheetData>
    <row r="1">
      <c r="A1" s="6" t="inlineStr">
        <is>
          <t>E se eu comprar?</t>
        </is>
      </c>
    </row>
    <row r="2">
      <c r="A2" s="10" t="inlineStr">
        <is>
          <t>Nada é gravado: é só uma conta para decidir antes de gastar.</t>
        </is>
      </c>
    </row>
    <row r="3">
      <c r="A3" s="7" t="inlineStr">
        <is>
          <t>Quanto custa?</t>
        </is>
      </c>
      <c r="B3" s="8" t="n">
        <v>0</v>
      </c>
    </row>
    <row r="4">
      <c r="A4" s="7" t="inlineStr">
        <is>
          <t>Como vai pagar?</t>
        </is>
      </c>
      <c r="B4" s="22" t="inlineStr">
        <is>
          <t>Parcelado</t>
        </is>
      </c>
    </row>
    <row r="5">
      <c r="A5" s="11" t="inlineStr">
        <is>
          <t>Entrada, paga hoje (se parcelado)</t>
        </is>
      </c>
      <c r="B5" s="8" t="n">
        <v>0</v>
      </c>
    </row>
    <row r="6">
      <c r="A6" s="11" t="inlineStr">
        <is>
          <t>Número de parcelas</t>
        </is>
      </c>
      <c r="B6" s="23" t="n">
        <v>6</v>
      </c>
    </row>
    <row r="7">
      <c r="A7" s="11" t="inlineStr">
        <is>
          <t>Juros ao mês (digite com %, ex.: 3%)</t>
        </is>
      </c>
      <c r="B7" s="24" t="n">
        <v>0</v>
      </c>
    </row>
    <row r="8">
      <c r="A8" s="11" t="inlineStr">
        <is>
          <t>Folga mínima que você quer manter</t>
        </is>
      </c>
      <c r="B8" s="8" t="n">
        <v>100</v>
      </c>
    </row>
    <row r="10">
      <c r="A10" s="7" t="inlineStr">
        <is>
          <t>Valor de cada parcela</t>
        </is>
      </c>
      <c r="B10" s="12">
        <f>IF(OR(B4="À vista",B6&lt;1),0,IF(B7=0,(B3-B5)/B6,PMT(B7,B6,-(B3-B5))))</f>
        <v/>
      </c>
    </row>
    <row r="11">
      <c r="A11" s="7" t="inlineStr">
        <is>
          <t>Total que sai do bolso</t>
        </is>
      </c>
      <c r="B11" s="12">
        <f>IF(B4="À vista",B3,B5+B10*B6)</f>
        <v/>
      </c>
    </row>
    <row r="12">
      <c r="A12" s="7" t="inlineStr">
        <is>
          <t>Juros pagos</t>
        </is>
      </c>
      <c r="B12" s="12">
        <f>MAX(0,B11-B3)</f>
        <v/>
      </c>
    </row>
    <row r="13">
      <c r="A13" s="7" t="inlineStr">
        <is>
          <t>VEREDITO</t>
        </is>
      </c>
      <c r="B13" s="25">
        <f>IF(B3&lt;=0,"Digite o preço",IF(MIN(C17:C28)&lt;0,"Não cabe agora",IF(MIN(C17:C28)&lt;B8,"Dá, mas fica apertado","Cabe no seu orçamento")))</f>
        <v/>
      </c>
    </row>
    <row r="16">
      <c r="A16" s="16" t="inlineStr">
        <is>
          <t>Fim do mês</t>
        </is>
      </c>
      <c r="B16" s="16" t="inlineStr">
        <is>
          <t>Saldo sem a compra</t>
        </is>
      </c>
      <c r="C16" s="16" t="inlineStr">
        <is>
          <t>Saldo com a compra</t>
        </is>
      </c>
      <c r="E16" s="10" t="inlineStr">
        <is>
          <t>A entrada sai hoje; a 1ª parcela vence no mês que vem.</t>
        </is>
      </c>
    </row>
    <row r="17">
      <c r="A17" s="19">
        <f>EOMONTH(TODAY(),0)</f>
        <v/>
      </c>
      <c r="B17" s="17">
        <f>Resumo!$B$4+SUMIFS('Lançamentos'!$H$2:$H$1001,'Lançamentos'!$F$2:$F$1001,"Vai acontecer",'Lançamentos'!$A$2:$A$1001,"&lt;="&amp;A17)</f>
        <v/>
      </c>
      <c r="C17" s="17">
        <f>B17-IF($B$4="À vista",$B$3,$B$5+$B$10*MIN(0,$B$6))</f>
        <v/>
      </c>
    </row>
    <row r="18">
      <c r="A18" s="19">
        <f>EOMONTH(TODAY(),1)</f>
        <v/>
      </c>
      <c r="B18" s="17">
        <f>Resumo!$B$4+SUMIFS('Lançamentos'!$H$2:$H$1001,'Lançamentos'!$F$2:$F$1001,"Vai acontecer",'Lançamentos'!$A$2:$A$1001,"&lt;="&amp;A18)</f>
        <v/>
      </c>
      <c r="C18" s="17">
        <f>B18-IF($B$4="À vista",$B$3,$B$5+$B$10*MIN(1,$B$6))</f>
        <v/>
      </c>
    </row>
    <row r="19">
      <c r="A19" s="19">
        <f>EOMONTH(TODAY(),2)</f>
        <v/>
      </c>
      <c r="B19" s="17">
        <f>Resumo!$B$4+SUMIFS('Lançamentos'!$H$2:$H$1001,'Lançamentos'!$F$2:$F$1001,"Vai acontecer",'Lançamentos'!$A$2:$A$1001,"&lt;="&amp;A19)</f>
        <v/>
      </c>
      <c r="C19" s="17">
        <f>B19-IF($B$4="À vista",$B$3,$B$5+$B$10*MIN(2,$B$6))</f>
        <v/>
      </c>
    </row>
    <row r="20">
      <c r="A20" s="19">
        <f>EOMONTH(TODAY(),3)</f>
        <v/>
      </c>
      <c r="B20" s="17">
        <f>Resumo!$B$4+SUMIFS('Lançamentos'!$H$2:$H$1001,'Lançamentos'!$F$2:$F$1001,"Vai acontecer",'Lançamentos'!$A$2:$A$1001,"&lt;="&amp;A20)</f>
        <v/>
      </c>
      <c r="C20" s="17">
        <f>B20-IF($B$4="À vista",$B$3,$B$5+$B$10*MIN(3,$B$6))</f>
        <v/>
      </c>
    </row>
    <row r="21">
      <c r="A21" s="19">
        <f>EOMONTH(TODAY(),4)</f>
        <v/>
      </c>
      <c r="B21" s="17">
        <f>Resumo!$B$4+SUMIFS('Lançamentos'!$H$2:$H$1001,'Lançamentos'!$F$2:$F$1001,"Vai acontecer",'Lançamentos'!$A$2:$A$1001,"&lt;="&amp;A21)</f>
        <v/>
      </c>
      <c r="C21" s="17">
        <f>B21-IF($B$4="À vista",$B$3,$B$5+$B$10*MIN(4,$B$6))</f>
        <v/>
      </c>
    </row>
    <row r="22">
      <c r="A22" s="19">
        <f>EOMONTH(TODAY(),5)</f>
        <v/>
      </c>
      <c r="B22" s="17">
        <f>Resumo!$B$4+SUMIFS('Lançamentos'!$H$2:$H$1001,'Lançamentos'!$F$2:$F$1001,"Vai acontecer",'Lançamentos'!$A$2:$A$1001,"&lt;="&amp;A22)</f>
        <v/>
      </c>
      <c r="C22" s="17">
        <f>B22-IF($B$4="À vista",$B$3,$B$5+$B$10*MIN(5,$B$6))</f>
        <v/>
      </c>
    </row>
    <row r="23">
      <c r="A23" s="19">
        <f>EOMONTH(TODAY(),6)</f>
        <v/>
      </c>
      <c r="B23" s="17">
        <f>Resumo!$B$4+SUMIFS('Lançamentos'!$H$2:$H$1001,'Lançamentos'!$F$2:$F$1001,"Vai acontecer",'Lançamentos'!$A$2:$A$1001,"&lt;="&amp;A23)</f>
        <v/>
      </c>
      <c r="C23" s="17">
        <f>B23-IF($B$4="À vista",$B$3,$B$5+$B$10*MIN(6,$B$6))</f>
        <v/>
      </c>
    </row>
    <row r="24">
      <c r="A24" s="19">
        <f>EOMONTH(TODAY(),7)</f>
        <v/>
      </c>
      <c r="B24" s="17">
        <f>Resumo!$B$4+SUMIFS('Lançamentos'!$H$2:$H$1001,'Lançamentos'!$F$2:$F$1001,"Vai acontecer",'Lançamentos'!$A$2:$A$1001,"&lt;="&amp;A24)</f>
        <v/>
      </c>
      <c r="C24" s="17">
        <f>B24-IF($B$4="À vista",$B$3,$B$5+$B$10*MIN(7,$B$6))</f>
        <v/>
      </c>
    </row>
    <row r="25">
      <c r="A25" s="19">
        <f>EOMONTH(TODAY(),8)</f>
        <v/>
      </c>
      <c r="B25" s="17">
        <f>Resumo!$B$4+SUMIFS('Lançamentos'!$H$2:$H$1001,'Lançamentos'!$F$2:$F$1001,"Vai acontecer",'Lançamentos'!$A$2:$A$1001,"&lt;="&amp;A25)</f>
        <v/>
      </c>
      <c r="C25" s="17">
        <f>B25-IF($B$4="À vista",$B$3,$B$5+$B$10*MIN(8,$B$6))</f>
        <v/>
      </c>
    </row>
    <row r="26">
      <c r="A26" s="19">
        <f>EOMONTH(TODAY(),9)</f>
        <v/>
      </c>
      <c r="B26" s="17">
        <f>Resumo!$B$4+SUMIFS('Lançamentos'!$H$2:$H$1001,'Lançamentos'!$F$2:$F$1001,"Vai acontecer",'Lançamentos'!$A$2:$A$1001,"&lt;="&amp;A26)</f>
        <v/>
      </c>
      <c r="C26" s="17">
        <f>B26-IF($B$4="À vista",$B$3,$B$5+$B$10*MIN(9,$B$6))</f>
        <v/>
      </c>
    </row>
    <row r="27">
      <c r="A27" s="19">
        <f>EOMONTH(TODAY(),10)</f>
        <v/>
      </c>
      <c r="B27" s="17">
        <f>Resumo!$B$4+SUMIFS('Lançamentos'!$H$2:$H$1001,'Lançamentos'!$F$2:$F$1001,"Vai acontecer",'Lançamentos'!$A$2:$A$1001,"&lt;="&amp;A27)</f>
        <v/>
      </c>
      <c r="C27" s="17">
        <f>B27-IF($B$4="À vista",$B$3,$B$5+$B$10*MIN(10,$B$6))</f>
        <v/>
      </c>
    </row>
    <row r="28">
      <c r="A28" s="19">
        <f>EOMONTH(TODAY(),11)</f>
        <v/>
      </c>
      <c r="B28" s="17">
        <f>Resumo!$B$4+SUMIFS('Lançamentos'!$H$2:$H$1001,'Lançamentos'!$F$2:$F$1001,"Vai acontecer",'Lançamentos'!$A$2:$A$1001,"&lt;="&amp;A28)</f>
        <v/>
      </c>
      <c r="C28" s="17">
        <f>B28-IF($B$4="À vista",$B$3,$B$5+$B$10*MIN(11,$B$6))</f>
        <v/>
      </c>
    </row>
  </sheetData>
  <conditionalFormatting sqref="B13">
    <cfRule type="expression" priority="1" dxfId="0">
      <formula>$B$13="Não cabe agora"</formula>
    </cfRule>
    <cfRule type="expression" priority="2" dxfId="3">
      <formula>$B$13="Cabe no seu orçamento"</formula>
    </cfRule>
    <cfRule type="expression" priority="3" dxfId="1">
      <formula>$B$13="Dá, mas fica apertado"</formula>
    </cfRule>
  </conditionalFormatting>
  <conditionalFormatting sqref="C17:C28">
    <cfRule type="cellIs" priority="4" operator="lessThan" dxfId="0">
      <formula>0</formula>
    </cfRule>
  </conditionalFormatting>
  <dataValidations count="1">
    <dataValidation sqref="B4" showDropDown="0" showInputMessage="0" showErrorMessage="0" allowBlank="0" type="list">
      <formula1>"À vista,Parcelado"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3E73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3" customWidth="1" min="4" max="4"/>
    <col width="14" customWidth="1" min="5" max="5"/>
    <col width="12" customWidth="1" min="6" max="6"/>
    <col width="20" customWidth="1" min="7" max="7"/>
  </cols>
  <sheetData>
    <row r="1">
      <c r="A1" s="6" t="inlineStr">
        <is>
          <t>Objetivos</t>
        </is>
      </c>
    </row>
    <row r="2">
      <c r="A2" s="7" t="inlineStr">
        <is>
          <t>Total separado nos objetivos</t>
        </is>
      </c>
      <c r="C2" s="12">
        <f>SUM(C5:C34)</f>
        <v/>
      </c>
      <c r="D2" s="10" t="inlineStr">
        <is>
          <t>O dinheiro continua no saldo, mas sai do "saldo livre".</t>
        </is>
      </c>
    </row>
    <row r="4" ht="30" customHeight="1">
      <c r="A4" s="16" t="inlineStr">
        <is>
          <t>Nome</t>
        </is>
      </c>
      <c r="B4" s="16" t="inlineStr">
        <is>
          <t>Meta</t>
        </is>
      </c>
      <c r="C4" s="16" t="inlineStr">
        <is>
          <t>Guardado</t>
        </is>
      </c>
      <c r="D4" s="16" t="inlineStr">
        <is>
          <t>Prazo</t>
        </is>
      </c>
      <c r="E4" s="16" t="inlineStr">
        <is>
          <t>Falta</t>
        </is>
      </c>
      <c r="F4" s="16" t="inlineStr">
        <is>
          <t>Progresso</t>
        </is>
      </c>
      <c r="G4" s="16" t="inlineStr">
        <is>
          <t>Por mês até o prazo</t>
        </is>
      </c>
    </row>
    <row r="5">
      <c r="A5" t="inlineStr">
        <is>
          <t>Reserva de emergência (exemplo)</t>
        </is>
      </c>
      <c r="B5" s="17" t="n">
        <v>9000</v>
      </c>
      <c r="C5" s="17" t="n">
        <v>2500</v>
      </c>
      <c r="D5" s="19" t="n">
        <v>46661</v>
      </c>
      <c r="E5" s="20">
        <f>IF(B5="","",MAX(0,B5-C5))</f>
        <v/>
      </c>
      <c r="F5" s="26">
        <f>IF(B5&gt;0,MIN(1,C5/B5),"")</f>
        <v/>
      </c>
      <c r="G5" s="20">
        <f>IF(OR(B5="",D5="",E5=0),"",IFERROR(ROUNDUP(E5/MAX(1,DATEDIF(TODAY(),D5,"M")),2),"prazo passou"))</f>
        <v/>
      </c>
    </row>
    <row r="6">
      <c r="A6" t="inlineStr">
        <is>
          <t>Viagem de fim de ano (exemplo)</t>
        </is>
      </c>
      <c r="B6" s="17" t="n">
        <v>4000</v>
      </c>
      <c r="C6" s="17" t="n">
        <v>800</v>
      </c>
      <c r="D6" s="19" t="n">
        <v>46357</v>
      </c>
      <c r="E6" s="20">
        <f>IF(B6="","",MAX(0,B6-C6))</f>
        <v/>
      </c>
      <c r="F6" s="26">
        <f>IF(B6&gt;0,MIN(1,C6/B6),"")</f>
        <v/>
      </c>
      <c r="G6" s="20">
        <f>IF(OR(B6="",D6="",E6=0),"",IFERROR(ROUNDUP(E6/MAX(1,DATEDIF(TODAY(),D6,"M")),2),"prazo passou"))</f>
        <v/>
      </c>
    </row>
    <row r="7">
      <c r="B7" s="17" t="n"/>
      <c r="C7" s="17" t="n"/>
      <c r="D7" s="19" t="n"/>
      <c r="E7" s="20">
        <f>IF(B7="","",MAX(0,B7-C7))</f>
        <v/>
      </c>
      <c r="F7" s="26">
        <f>IF(B7&gt;0,MIN(1,C7/B7),"")</f>
        <v/>
      </c>
      <c r="G7" s="20">
        <f>IF(OR(B7="",D7="",E7=0),"",IFERROR(ROUNDUP(E7/MAX(1,DATEDIF(TODAY(),D7,"M")),2),"prazo passou"))</f>
        <v/>
      </c>
    </row>
    <row r="8">
      <c r="B8" s="17" t="n"/>
      <c r="C8" s="17" t="n"/>
      <c r="D8" s="19" t="n"/>
      <c r="E8" s="20">
        <f>IF(B8="","",MAX(0,B8-C8))</f>
        <v/>
      </c>
      <c r="F8" s="26">
        <f>IF(B8&gt;0,MIN(1,C8/B8),"")</f>
        <v/>
      </c>
      <c r="G8" s="20">
        <f>IF(OR(B8="",D8="",E8=0),"",IFERROR(ROUNDUP(E8/MAX(1,DATEDIF(TODAY(),D8,"M")),2),"prazo passou"))</f>
        <v/>
      </c>
    </row>
    <row r="9">
      <c r="B9" s="17" t="n"/>
      <c r="C9" s="17" t="n"/>
      <c r="D9" s="19" t="n"/>
      <c r="E9" s="20">
        <f>IF(B9="","",MAX(0,B9-C9))</f>
        <v/>
      </c>
      <c r="F9" s="26">
        <f>IF(B9&gt;0,MIN(1,C9/B9),"")</f>
        <v/>
      </c>
      <c r="G9" s="20">
        <f>IF(OR(B9="",D9="",E9=0),"",IFERROR(ROUNDUP(E9/MAX(1,DATEDIF(TODAY(),D9,"M")),2),"prazo passou"))</f>
        <v/>
      </c>
    </row>
    <row r="10">
      <c r="B10" s="17" t="n"/>
      <c r="C10" s="17" t="n"/>
      <c r="D10" s="19" t="n"/>
      <c r="E10" s="20">
        <f>IF(B10="","",MAX(0,B10-C10))</f>
        <v/>
      </c>
      <c r="F10" s="26">
        <f>IF(B10&gt;0,MIN(1,C10/B10),"")</f>
        <v/>
      </c>
      <c r="G10" s="20">
        <f>IF(OR(B10="",D10="",E10=0),"",IFERROR(ROUNDUP(E10/MAX(1,DATEDIF(TODAY(),D10,"M")),2),"prazo passou"))</f>
        <v/>
      </c>
    </row>
    <row r="11">
      <c r="B11" s="17" t="n"/>
      <c r="C11" s="17" t="n"/>
      <c r="D11" s="19" t="n"/>
      <c r="E11" s="20">
        <f>IF(B11="","",MAX(0,B11-C11))</f>
        <v/>
      </c>
      <c r="F11" s="26">
        <f>IF(B11&gt;0,MIN(1,C11/B11),"")</f>
        <v/>
      </c>
      <c r="G11" s="20">
        <f>IF(OR(B11="",D11="",E11=0),"",IFERROR(ROUNDUP(E11/MAX(1,DATEDIF(TODAY(),D11,"M")),2),"prazo passou"))</f>
        <v/>
      </c>
    </row>
    <row r="12">
      <c r="B12" s="17" t="n"/>
      <c r="C12" s="17" t="n"/>
      <c r="D12" s="19" t="n"/>
      <c r="E12" s="20">
        <f>IF(B12="","",MAX(0,B12-C12))</f>
        <v/>
      </c>
      <c r="F12" s="26">
        <f>IF(B12&gt;0,MIN(1,C12/B12),"")</f>
        <v/>
      </c>
      <c r="G12" s="20">
        <f>IF(OR(B12="",D12="",E12=0),"",IFERROR(ROUNDUP(E12/MAX(1,DATEDIF(TODAY(),D12,"M")),2),"prazo passou"))</f>
        <v/>
      </c>
    </row>
    <row r="13">
      <c r="B13" s="17" t="n"/>
      <c r="C13" s="17" t="n"/>
      <c r="D13" s="19" t="n"/>
      <c r="E13" s="20">
        <f>IF(B13="","",MAX(0,B13-C13))</f>
        <v/>
      </c>
      <c r="F13" s="26">
        <f>IF(B13&gt;0,MIN(1,C13/B13),"")</f>
        <v/>
      </c>
      <c r="G13" s="20">
        <f>IF(OR(B13="",D13="",E13=0),"",IFERROR(ROUNDUP(E13/MAX(1,DATEDIF(TODAY(),D13,"M")),2),"prazo passou"))</f>
        <v/>
      </c>
    </row>
    <row r="14">
      <c r="B14" s="17" t="n"/>
      <c r="C14" s="17" t="n"/>
      <c r="D14" s="19" t="n"/>
      <c r="E14" s="20">
        <f>IF(B14="","",MAX(0,B14-C14))</f>
        <v/>
      </c>
      <c r="F14" s="26">
        <f>IF(B14&gt;0,MIN(1,C14/B14),"")</f>
        <v/>
      </c>
      <c r="G14" s="20">
        <f>IF(OR(B14="",D14="",E14=0),"",IFERROR(ROUNDUP(E14/MAX(1,DATEDIF(TODAY(),D14,"M")),2),"prazo passou"))</f>
        <v/>
      </c>
    </row>
    <row r="15">
      <c r="B15" s="17" t="n"/>
      <c r="C15" s="17" t="n"/>
      <c r="D15" s="19" t="n"/>
      <c r="E15" s="20">
        <f>IF(B15="","",MAX(0,B15-C15))</f>
        <v/>
      </c>
      <c r="F15" s="26">
        <f>IF(B15&gt;0,MIN(1,C15/B15),"")</f>
        <v/>
      </c>
      <c r="G15" s="20">
        <f>IF(OR(B15="",D15="",E15=0),"",IFERROR(ROUNDUP(E15/MAX(1,DATEDIF(TODAY(),D15,"M")),2),"prazo passou"))</f>
        <v/>
      </c>
    </row>
    <row r="16">
      <c r="B16" s="17" t="n"/>
      <c r="C16" s="17" t="n"/>
      <c r="D16" s="19" t="n"/>
      <c r="E16" s="20">
        <f>IF(B16="","",MAX(0,B16-C16))</f>
        <v/>
      </c>
      <c r="F16" s="26">
        <f>IF(B16&gt;0,MIN(1,C16/B16),"")</f>
        <v/>
      </c>
      <c r="G16" s="20">
        <f>IF(OR(B16="",D16="",E16=0),"",IFERROR(ROUNDUP(E16/MAX(1,DATEDIF(TODAY(),D16,"M")),2),"prazo passou"))</f>
        <v/>
      </c>
    </row>
    <row r="17">
      <c r="B17" s="17" t="n"/>
      <c r="C17" s="17" t="n"/>
      <c r="D17" s="19" t="n"/>
      <c r="E17" s="20">
        <f>IF(B17="","",MAX(0,B17-C17))</f>
        <v/>
      </c>
      <c r="F17" s="26">
        <f>IF(B17&gt;0,MIN(1,C17/B17),"")</f>
        <v/>
      </c>
      <c r="G17" s="20">
        <f>IF(OR(B17="",D17="",E17=0),"",IFERROR(ROUNDUP(E17/MAX(1,DATEDIF(TODAY(),D17,"M")),2),"prazo passou"))</f>
        <v/>
      </c>
    </row>
    <row r="18">
      <c r="B18" s="17" t="n"/>
      <c r="C18" s="17" t="n"/>
      <c r="D18" s="19" t="n"/>
      <c r="E18" s="20">
        <f>IF(B18="","",MAX(0,B18-C18))</f>
        <v/>
      </c>
      <c r="F18" s="26">
        <f>IF(B18&gt;0,MIN(1,C18/B18),"")</f>
        <v/>
      </c>
      <c r="G18" s="20">
        <f>IF(OR(B18="",D18="",E18=0),"",IFERROR(ROUNDUP(E18/MAX(1,DATEDIF(TODAY(),D18,"M")),2),"prazo passou"))</f>
        <v/>
      </c>
    </row>
    <row r="19">
      <c r="B19" s="17" t="n"/>
      <c r="C19" s="17" t="n"/>
      <c r="D19" s="19" t="n"/>
      <c r="E19" s="20">
        <f>IF(B19="","",MAX(0,B19-C19))</f>
        <v/>
      </c>
      <c r="F19" s="26">
        <f>IF(B19&gt;0,MIN(1,C19/B19),"")</f>
        <v/>
      </c>
      <c r="G19" s="20">
        <f>IF(OR(B19="",D19="",E19=0),"",IFERROR(ROUNDUP(E19/MAX(1,DATEDIF(TODAY(),D19,"M")),2),"prazo passou"))</f>
        <v/>
      </c>
    </row>
    <row r="20">
      <c r="B20" s="17" t="n"/>
      <c r="C20" s="17" t="n"/>
      <c r="D20" s="19" t="n"/>
      <c r="E20" s="20">
        <f>IF(B20="","",MAX(0,B20-C20))</f>
        <v/>
      </c>
      <c r="F20" s="26">
        <f>IF(B20&gt;0,MIN(1,C20/B20),"")</f>
        <v/>
      </c>
      <c r="G20" s="20">
        <f>IF(OR(B20="",D20="",E20=0),"",IFERROR(ROUNDUP(E20/MAX(1,DATEDIF(TODAY(),D20,"M")),2),"prazo passou"))</f>
        <v/>
      </c>
    </row>
    <row r="21">
      <c r="B21" s="17" t="n"/>
      <c r="C21" s="17" t="n"/>
      <c r="D21" s="19" t="n"/>
      <c r="E21" s="20">
        <f>IF(B21="","",MAX(0,B21-C21))</f>
        <v/>
      </c>
      <c r="F21" s="26">
        <f>IF(B21&gt;0,MIN(1,C21/B21),"")</f>
        <v/>
      </c>
      <c r="G21" s="20">
        <f>IF(OR(B21="",D21="",E21=0),"",IFERROR(ROUNDUP(E21/MAX(1,DATEDIF(TODAY(),D21,"M")),2),"prazo passou"))</f>
        <v/>
      </c>
    </row>
    <row r="22">
      <c r="B22" s="17" t="n"/>
      <c r="C22" s="17" t="n"/>
      <c r="D22" s="19" t="n"/>
      <c r="E22" s="20">
        <f>IF(B22="","",MAX(0,B22-C22))</f>
        <v/>
      </c>
      <c r="F22" s="26">
        <f>IF(B22&gt;0,MIN(1,C22/B22),"")</f>
        <v/>
      </c>
      <c r="G22" s="20">
        <f>IF(OR(B22="",D22="",E22=0),"",IFERROR(ROUNDUP(E22/MAX(1,DATEDIF(TODAY(),D22,"M")),2),"prazo passou"))</f>
        <v/>
      </c>
    </row>
    <row r="23">
      <c r="B23" s="17" t="n"/>
      <c r="C23" s="17" t="n"/>
      <c r="D23" s="19" t="n"/>
      <c r="E23" s="20">
        <f>IF(B23="","",MAX(0,B23-C23))</f>
        <v/>
      </c>
      <c r="F23" s="26">
        <f>IF(B23&gt;0,MIN(1,C23/B23),"")</f>
        <v/>
      </c>
      <c r="G23" s="20">
        <f>IF(OR(B23="",D23="",E23=0),"",IFERROR(ROUNDUP(E23/MAX(1,DATEDIF(TODAY(),D23,"M")),2),"prazo passou"))</f>
        <v/>
      </c>
    </row>
    <row r="24">
      <c r="B24" s="17" t="n"/>
      <c r="C24" s="17" t="n"/>
      <c r="D24" s="19" t="n"/>
      <c r="E24" s="20">
        <f>IF(B24="","",MAX(0,B24-C24))</f>
        <v/>
      </c>
      <c r="F24" s="26">
        <f>IF(B24&gt;0,MIN(1,C24/B24),"")</f>
        <v/>
      </c>
      <c r="G24" s="20">
        <f>IF(OR(B24="",D24="",E24=0),"",IFERROR(ROUNDUP(E24/MAX(1,DATEDIF(TODAY(),D24,"M")),2),"prazo passou"))</f>
        <v/>
      </c>
    </row>
    <row r="25">
      <c r="B25" s="17" t="n"/>
      <c r="C25" s="17" t="n"/>
      <c r="D25" s="19" t="n"/>
      <c r="E25" s="20">
        <f>IF(B25="","",MAX(0,B25-C25))</f>
        <v/>
      </c>
      <c r="F25" s="26">
        <f>IF(B25&gt;0,MIN(1,C25/B25),"")</f>
        <v/>
      </c>
      <c r="G25" s="20">
        <f>IF(OR(B25="",D25="",E25=0),"",IFERROR(ROUNDUP(E25/MAX(1,DATEDIF(TODAY(),D25,"M")),2),"prazo passou"))</f>
        <v/>
      </c>
    </row>
    <row r="26">
      <c r="B26" s="17" t="n"/>
      <c r="C26" s="17" t="n"/>
      <c r="D26" s="19" t="n"/>
      <c r="E26" s="20">
        <f>IF(B26="","",MAX(0,B26-C26))</f>
        <v/>
      </c>
      <c r="F26" s="26">
        <f>IF(B26&gt;0,MIN(1,C26/B26),"")</f>
        <v/>
      </c>
      <c r="G26" s="20">
        <f>IF(OR(B26="",D26="",E26=0),"",IFERROR(ROUNDUP(E26/MAX(1,DATEDIF(TODAY(),D26,"M")),2),"prazo passou"))</f>
        <v/>
      </c>
    </row>
    <row r="27">
      <c r="B27" s="17" t="n"/>
      <c r="C27" s="17" t="n"/>
      <c r="D27" s="19" t="n"/>
      <c r="E27" s="20">
        <f>IF(B27="","",MAX(0,B27-C27))</f>
        <v/>
      </c>
      <c r="F27" s="26">
        <f>IF(B27&gt;0,MIN(1,C27/B27),"")</f>
        <v/>
      </c>
      <c r="G27" s="20">
        <f>IF(OR(B27="",D27="",E27=0),"",IFERROR(ROUNDUP(E27/MAX(1,DATEDIF(TODAY(),D27,"M")),2),"prazo passou"))</f>
        <v/>
      </c>
    </row>
    <row r="28">
      <c r="B28" s="17" t="n"/>
      <c r="C28" s="17" t="n"/>
      <c r="D28" s="19" t="n"/>
      <c r="E28" s="20">
        <f>IF(B28="","",MAX(0,B28-C28))</f>
        <v/>
      </c>
      <c r="F28" s="26">
        <f>IF(B28&gt;0,MIN(1,C28/B28),"")</f>
        <v/>
      </c>
      <c r="G28" s="20">
        <f>IF(OR(B28="",D28="",E28=0),"",IFERROR(ROUNDUP(E28/MAX(1,DATEDIF(TODAY(),D28,"M")),2),"prazo passou"))</f>
        <v/>
      </c>
    </row>
    <row r="29">
      <c r="B29" s="17" t="n"/>
      <c r="C29" s="17" t="n"/>
      <c r="D29" s="19" t="n"/>
      <c r="E29" s="20">
        <f>IF(B29="","",MAX(0,B29-C29))</f>
        <v/>
      </c>
      <c r="F29" s="26">
        <f>IF(B29&gt;0,MIN(1,C29/B29),"")</f>
        <v/>
      </c>
      <c r="G29" s="20">
        <f>IF(OR(B29="",D29="",E29=0),"",IFERROR(ROUNDUP(E29/MAX(1,DATEDIF(TODAY(),D29,"M")),2),"prazo passou"))</f>
        <v/>
      </c>
    </row>
    <row r="30">
      <c r="B30" s="17" t="n"/>
      <c r="C30" s="17" t="n"/>
      <c r="D30" s="19" t="n"/>
      <c r="E30" s="20">
        <f>IF(B30="","",MAX(0,B30-C30))</f>
        <v/>
      </c>
      <c r="F30" s="26">
        <f>IF(B30&gt;0,MIN(1,C30/B30),"")</f>
        <v/>
      </c>
      <c r="G30" s="20">
        <f>IF(OR(B30="",D30="",E30=0),"",IFERROR(ROUNDUP(E30/MAX(1,DATEDIF(TODAY(),D30,"M")),2),"prazo passou"))</f>
        <v/>
      </c>
    </row>
    <row r="31">
      <c r="B31" s="17" t="n"/>
      <c r="C31" s="17" t="n"/>
      <c r="D31" s="19" t="n"/>
      <c r="E31" s="20">
        <f>IF(B31="","",MAX(0,B31-C31))</f>
        <v/>
      </c>
      <c r="F31" s="26">
        <f>IF(B31&gt;0,MIN(1,C31/B31),"")</f>
        <v/>
      </c>
      <c r="G31" s="20">
        <f>IF(OR(B31="",D31="",E31=0),"",IFERROR(ROUNDUP(E31/MAX(1,DATEDIF(TODAY(),D31,"M")),2),"prazo passou"))</f>
        <v/>
      </c>
    </row>
    <row r="32">
      <c r="B32" s="17" t="n"/>
      <c r="C32" s="17" t="n"/>
      <c r="D32" s="19" t="n"/>
      <c r="E32" s="20">
        <f>IF(B32="","",MAX(0,B32-C32))</f>
        <v/>
      </c>
      <c r="F32" s="26">
        <f>IF(B32&gt;0,MIN(1,C32/B32),"")</f>
        <v/>
      </c>
      <c r="G32" s="20">
        <f>IF(OR(B32="",D32="",E32=0),"",IFERROR(ROUNDUP(E32/MAX(1,DATEDIF(TODAY(),D32,"M")),2),"prazo passou"))</f>
        <v/>
      </c>
    </row>
    <row r="33">
      <c r="B33" s="17" t="n"/>
      <c r="C33" s="17" t="n"/>
      <c r="D33" s="19" t="n"/>
      <c r="E33" s="20">
        <f>IF(B33="","",MAX(0,B33-C33))</f>
        <v/>
      </c>
      <c r="F33" s="26">
        <f>IF(B33&gt;0,MIN(1,C33/B33),"")</f>
        <v/>
      </c>
      <c r="G33" s="20">
        <f>IF(OR(B33="",D33="",E33=0),"",IFERROR(ROUNDUP(E33/MAX(1,DATEDIF(TODAY(),D33,"M")),2),"prazo passou"))</f>
        <v/>
      </c>
    </row>
    <row r="34">
      <c r="B34" s="17" t="n"/>
      <c r="C34" s="17" t="n"/>
      <c r="D34" s="19" t="n"/>
      <c r="E34" s="20">
        <f>IF(B34="","",MAX(0,B34-C34))</f>
        <v/>
      </c>
      <c r="F34" s="26">
        <f>IF(B34&gt;0,MIN(1,C34/B34),"")</f>
        <v/>
      </c>
      <c r="G34" s="20">
        <f>IF(OR(B34="",D34="",E34=0),"",IFERROR(ROUNDUP(E34/MAX(1,DATEDIF(TODAY(),D34,"M")),2),"prazo passou"))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3E73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6" t="inlineStr">
        <is>
          <t>Categoria</t>
        </is>
      </c>
      <c r="B1" s="16" t="inlineStr">
        <is>
          <t>Importância padrão</t>
        </is>
      </c>
      <c r="D1" s="10" t="inlineStr">
        <is>
          <t>Dica: pode acrescentar categorias no fim da lista.</t>
        </is>
      </c>
    </row>
    <row r="2">
      <c r="A2" s="27" t="inlineStr">
        <is>
          <t>Moradia</t>
        </is>
      </c>
      <c r="B2" s="27" t="inlineStr">
        <is>
          <t>Essencial</t>
        </is>
      </c>
    </row>
    <row r="3">
      <c r="A3" s="27" t="inlineStr">
        <is>
          <t>Mercado</t>
        </is>
      </c>
      <c r="B3" s="27" t="inlineStr">
        <is>
          <t>Essencial</t>
        </is>
      </c>
    </row>
    <row r="4">
      <c r="A4" s="27" t="inlineStr">
        <is>
          <t>Saúde</t>
        </is>
      </c>
      <c r="B4" s="27" t="inlineStr">
        <is>
          <t>Essencial</t>
        </is>
      </c>
    </row>
    <row r="5">
      <c r="A5" s="27" t="inlineStr">
        <is>
          <t>Contas básicas</t>
        </is>
      </c>
      <c r="B5" s="27" t="inlineStr">
        <is>
          <t>Essencial</t>
        </is>
      </c>
    </row>
    <row r="6">
      <c r="A6" s="27" t="inlineStr">
        <is>
          <t>Transporte</t>
        </is>
      </c>
      <c r="B6" s="27" t="inlineStr">
        <is>
          <t>Essencial</t>
        </is>
      </c>
    </row>
    <row r="7">
      <c r="A7" s="27" t="inlineStr">
        <is>
          <t>Dívidas</t>
        </is>
      </c>
      <c r="B7" s="27" t="inlineStr">
        <is>
          <t>Dívidas</t>
        </is>
      </c>
    </row>
    <row r="8">
      <c r="A8" s="27" t="inlineStr">
        <is>
          <t>Estudos</t>
        </is>
      </c>
      <c r="B8" s="27" t="inlineStr">
        <is>
          <t>Importante</t>
        </is>
      </c>
    </row>
    <row r="9">
      <c r="A9" s="27" t="inlineStr">
        <is>
          <t>Trabalho</t>
        </is>
      </c>
      <c r="B9" s="27" t="inlineStr">
        <is>
          <t>Importante</t>
        </is>
      </c>
    </row>
    <row r="10">
      <c r="A10" s="27" t="inlineStr">
        <is>
          <t>Lazer</t>
        </is>
      </c>
      <c r="B10" s="27" t="inlineStr">
        <is>
          <t>Quero</t>
        </is>
      </c>
    </row>
    <row r="11">
      <c r="A11" s="27" t="inlineStr">
        <is>
          <t>Compras</t>
        </is>
      </c>
      <c r="B11" s="27" t="inlineStr">
        <is>
          <t>Quero</t>
        </is>
      </c>
    </row>
    <row r="12">
      <c r="A12" s="27" t="inlineStr">
        <is>
          <t>Salário</t>
        </is>
      </c>
      <c r="B12" s="27" t="inlineStr">
        <is>
          <t>Essencial</t>
        </is>
      </c>
    </row>
    <row r="13">
      <c r="A13" s="27" t="inlineStr">
        <is>
          <t>Outros</t>
        </is>
      </c>
      <c r="B13" s="27" t="inlineStr">
        <is>
          <t>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2026-10-06T00:41:24Z</dcterms:created>
  <dcterms:modified xsi:type="dcterms:W3CDTF">2026-10-06T00:41:24Z</dcterms:modified>
</cp:coreProperties>
</file>